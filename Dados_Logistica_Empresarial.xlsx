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ana\Documentos\"/>
    </mc:Choice>
  </mc:AlternateContent>
  <xr:revisionPtr revIDLastSave="0" documentId="13_ncr:1_{3A07D948-FDF1-4216-AA08-203F57AF2A3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Clientes" sheetId="1" r:id="rId1"/>
    <sheet name="Produtos" sheetId="2" r:id="rId2"/>
    <sheet name="Pedidos" sheetId="3" r:id="rId3"/>
    <sheet name="Devolucoes" sheetId="4" r:id="rId4"/>
    <sheet name="Validação Questões" sheetId="6" r:id="rId5"/>
    <sheet name="Relacionamentos" sheetId="5" state="hidden" r:id="rId6"/>
  </sheets>
  <definedNames>
    <definedName name="_xlnm._FilterDatabase" localSheetId="0" hidden="1">Clientes!$A$1:$E$101</definedName>
    <definedName name="_xlnm._FilterDatabase" localSheetId="3" hidden="1">Devolucoes!$A$1:$F$41</definedName>
    <definedName name="_xlnm._FilterDatabase" localSheetId="2" hidden="1">Pedidos!$A$1:$L$1</definedName>
    <definedName name="_xlnm._FilterDatabase" localSheetId="1" hidden="1">Produtos!$A$1:$D$101</definedName>
    <definedName name="_xlnm._FilterDatabase" localSheetId="5" hidden="1">Relacionamentos!$A$1:$E$4</definedName>
  </definedNames>
  <calcPr calcId="191029"/>
  <pivotCaches>
    <pivotCache cacheId="9" r:id="rId7"/>
    <pivotCache cacheId="43" r:id="rId8"/>
    <pivotCache cacheId="47" r:id="rId9"/>
    <pivotCache cacheId="57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" i="6" l="1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" i="3"/>
</calcChain>
</file>

<file path=xl/sharedStrings.xml><?xml version="1.0" encoding="utf-8"?>
<sst xmlns="http://schemas.openxmlformats.org/spreadsheetml/2006/main" count="1228" uniqueCount="192">
  <si>
    <t>ID_Cliente</t>
  </si>
  <si>
    <t>Nome_Cliente</t>
  </si>
  <si>
    <t>Cidade</t>
  </si>
  <si>
    <t>Estado</t>
  </si>
  <si>
    <t>Tipo_Cliente</t>
  </si>
  <si>
    <t>Mariana Oliveira</t>
  </si>
  <si>
    <t>São Paulo</t>
  </si>
  <si>
    <t>SP</t>
  </si>
  <si>
    <t>Pessoa Física</t>
  </si>
  <si>
    <t>Rafael Mendes</t>
  </si>
  <si>
    <t>Santo André</t>
  </si>
  <si>
    <t>Pessoa Jurídica</t>
  </si>
  <si>
    <t>Camila Ferreira</t>
  </si>
  <si>
    <t>Mauá</t>
  </si>
  <si>
    <t>Lucas Almeida</t>
  </si>
  <si>
    <t>São Bernardo do Campo</t>
  </si>
  <si>
    <t>Beatriz Carvalho</t>
  </si>
  <si>
    <t>Guarulhos</t>
  </si>
  <si>
    <t>Gustavo Martins</t>
  </si>
  <si>
    <t>Osasco</t>
  </si>
  <si>
    <t>Juliana Rocha</t>
  </si>
  <si>
    <t>Mogi das Cruzes</t>
  </si>
  <si>
    <t>Thiago Barbosa</t>
  </si>
  <si>
    <t>Santos</t>
  </si>
  <si>
    <t>Larissa Costa</t>
  </si>
  <si>
    <t>Campinas</t>
  </si>
  <si>
    <t>Pedro Nascimento</t>
  </si>
  <si>
    <t>Sorocaba</t>
  </si>
  <si>
    <t>Fernanda Souza</t>
  </si>
  <si>
    <t>Jundiaí</t>
  </si>
  <si>
    <t>André Ribeiro</t>
  </si>
  <si>
    <t>Diadema</t>
  </si>
  <si>
    <t>Isabela Martins</t>
  </si>
  <si>
    <t>Bauru</t>
  </si>
  <si>
    <t>Marcelo Teixeira</t>
  </si>
  <si>
    <t>Piracicaba</t>
  </si>
  <si>
    <t>Renata Gomes</t>
  </si>
  <si>
    <t>São José dos Campos</t>
  </si>
  <si>
    <t>Vinícius Lopes</t>
  </si>
  <si>
    <t>Amanda Moreira</t>
  </si>
  <si>
    <t>Felipe Cardoso</t>
  </si>
  <si>
    <t>Natália Duarte</t>
  </si>
  <si>
    <t>Eduardo Ramos</t>
  </si>
  <si>
    <t>Priscila Monteiro</t>
  </si>
  <si>
    <t>Rodrigo Vieira</t>
  </si>
  <si>
    <t>Aline Castro</t>
  </si>
  <si>
    <t>Diego Fernandes</t>
  </si>
  <si>
    <t>Gabriela Santos</t>
  </si>
  <si>
    <t>Leonardo Correia</t>
  </si>
  <si>
    <t>Letícia Nunes</t>
  </si>
  <si>
    <t>Bruno Moraes</t>
  </si>
  <si>
    <t>Carolina Freitas</t>
  </si>
  <si>
    <t>Daniel Azevedo</t>
  </si>
  <si>
    <t>ID_Produto</t>
  </si>
  <si>
    <t>Produto</t>
  </si>
  <si>
    <t>Categoria</t>
  </si>
  <si>
    <t>Preco_Unitario</t>
  </si>
  <si>
    <t>Notebook</t>
  </si>
  <si>
    <t>Informática</t>
  </si>
  <si>
    <t>Monitor</t>
  </si>
  <si>
    <t>Teclado</t>
  </si>
  <si>
    <t>Mouse</t>
  </si>
  <si>
    <t>Cadeira Escritório</t>
  </si>
  <si>
    <t>Móveis</t>
  </si>
  <si>
    <t>Mesa Escritório</t>
  </si>
  <si>
    <t>Fone de Ouvido</t>
  </si>
  <si>
    <t>Eletrônicos</t>
  </si>
  <si>
    <t>Smartphone</t>
  </si>
  <si>
    <t>Impressora</t>
  </si>
  <si>
    <t>Mochila</t>
  </si>
  <si>
    <t>Acessórios</t>
  </si>
  <si>
    <t>Webcam</t>
  </si>
  <si>
    <t>Headset</t>
  </si>
  <si>
    <t>Tablet</t>
  </si>
  <si>
    <t>HD Externo</t>
  </si>
  <si>
    <t>SSD</t>
  </si>
  <si>
    <t>Teclado Mecânico</t>
  </si>
  <si>
    <t>Mousepad</t>
  </si>
  <si>
    <t>Suporte Notebook</t>
  </si>
  <si>
    <t>Caixa de Som</t>
  </si>
  <si>
    <t>Roteador</t>
  </si>
  <si>
    <t>Estabilizador</t>
  </si>
  <si>
    <t>Nobreak</t>
  </si>
  <si>
    <t>Cadeira Gamer</t>
  </si>
  <si>
    <t>Armário</t>
  </si>
  <si>
    <t>Luminária</t>
  </si>
  <si>
    <t>Hub USB</t>
  </si>
  <si>
    <t>Pen Drive</t>
  </si>
  <si>
    <t>Carregador</t>
  </si>
  <si>
    <t>Smartwatch</t>
  </si>
  <si>
    <t>Mesa Digitalizadora</t>
  </si>
  <si>
    <t>ID_Pedido</t>
  </si>
  <si>
    <t>Data_Pedido</t>
  </si>
  <si>
    <t>Quantidade</t>
  </si>
  <si>
    <t>Canal_Venda</t>
  </si>
  <si>
    <t>Status</t>
  </si>
  <si>
    <t>Desconto</t>
  </si>
  <si>
    <t>Valor_Bruto</t>
  </si>
  <si>
    <t>Valor_Liquido</t>
  </si>
  <si>
    <t>Marketplace</t>
  </si>
  <si>
    <t>Entregue</t>
  </si>
  <si>
    <t>Loja Física</t>
  </si>
  <si>
    <t>Em transporte</t>
  </si>
  <si>
    <t>Site</t>
  </si>
  <si>
    <t>Cancelado</t>
  </si>
  <si>
    <t>ID_Devolucao</t>
  </si>
  <si>
    <t>Data_Devolucao</t>
  </si>
  <si>
    <t>Motivo</t>
  </si>
  <si>
    <t>Quantidade_Devolvida</t>
  </si>
  <si>
    <t>Status_Devolucao</t>
  </si>
  <si>
    <t>Produto com defeito</t>
  </si>
  <si>
    <t>Estornado</t>
  </si>
  <si>
    <t>Produto danificado no transporte</t>
  </si>
  <si>
    <t>Em análise</t>
  </si>
  <si>
    <t>Cliente desistiu da compra</t>
  </si>
  <si>
    <t>Concluído</t>
  </si>
  <si>
    <t>Produto diferente do esperado</t>
  </si>
  <si>
    <t>Embalagem danificada</t>
  </si>
  <si>
    <t>Tabela_Origem</t>
  </si>
  <si>
    <t>Campo_Origem</t>
  </si>
  <si>
    <t>Cardinalidade</t>
  </si>
  <si>
    <t>Tabela_Destino</t>
  </si>
  <si>
    <t>Campo_Destino</t>
  </si>
  <si>
    <t>clientes</t>
  </si>
  <si>
    <t>1:N</t>
  </si>
  <si>
    <t>pedidos</t>
  </si>
  <si>
    <t>produtos</t>
  </si>
  <si>
    <t>devolucoes</t>
  </si>
  <si>
    <t>(Tudo)</t>
  </si>
  <si>
    <t>Total Geral</t>
  </si>
  <si>
    <t>ID_PEDIDO</t>
  </si>
  <si>
    <t xml:space="preserve"> Valor_Liquido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</si>
  <si>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</si>
  <si>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</si>
  <si>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</si>
  <si>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</si>
  <si>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</si>
  <si>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</si>
  <si>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</si>
  <si>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</si>
  <si>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</si>
  <si>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</si>
  <si>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Meses</t>
  </si>
  <si>
    <t>Valor Liquido</t>
  </si>
  <si>
    <t>Status da Venda</t>
  </si>
  <si>
    <t>Periodo</t>
  </si>
  <si>
    <t>Canais de Venda</t>
  </si>
  <si>
    <t>Faturamento  Canais</t>
  </si>
  <si>
    <t>Produtos</t>
  </si>
  <si>
    <t xml:space="preserve">Notebook </t>
  </si>
  <si>
    <t xml:space="preserve">Monitor </t>
  </si>
  <si>
    <t xml:space="preserve">Teclado </t>
  </si>
  <si>
    <t xml:space="preserve">Mouse </t>
  </si>
  <si>
    <t xml:space="preserve">Cadeira Escritório </t>
  </si>
  <si>
    <t xml:space="preserve">Mesa Escritório </t>
  </si>
  <si>
    <t xml:space="preserve">Fone de Ouvido </t>
  </si>
  <si>
    <t xml:space="preserve">Smartphone </t>
  </si>
  <si>
    <t xml:space="preserve">Impressora </t>
  </si>
  <si>
    <t xml:space="preserve">Mochila </t>
  </si>
  <si>
    <t xml:space="preserve">Headset </t>
  </si>
  <si>
    <t xml:space="preserve">Webcam </t>
  </si>
  <si>
    <t xml:space="preserve">Tablet </t>
  </si>
  <si>
    <t xml:space="preserve">HD Externo </t>
  </si>
  <si>
    <t xml:space="preserve">SSD </t>
  </si>
  <si>
    <t xml:space="preserve">Teclado Mecânico </t>
  </si>
  <si>
    <t xml:space="preserve">Mousepad </t>
  </si>
  <si>
    <t xml:space="preserve">Suporte Notebook </t>
  </si>
  <si>
    <t xml:space="preserve">Caixa de Som </t>
  </si>
  <si>
    <t xml:space="preserve">Estabilizador </t>
  </si>
  <si>
    <t xml:space="preserve">Roteador </t>
  </si>
  <si>
    <t xml:space="preserve">Nobreak </t>
  </si>
  <si>
    <t xml:space="preserve">Cadeira Gamer </t>
  </si>
  <si>
    <t xml:space="preserve">Armário </t>
  </si>
  <si>
    <t xml:space="preserve">Luminária </t>
  </si>
  <si>
    <t xml:space="preserve">Hub USB </t>
  </si>
  <si>
    <t xml:space="preserve">Pen Drive </t>
  </si>
  <si>
    <t xml:space="preserve">Carregador </t>
  </si>
  <si>
    <t xml:space="preserve">Smartwatch </t>
  </si>
  <si>
    <t xml:space="preserve">Mesa Digitalizadora </t>
  </si>
  <si>
    <t>Faturamento por Produtos</t>
  </si>
  <si>
    <t>Soma de ID_Pedido</t>
  </si>
  <si>
    <t>Contagem de ID_Pedido</t>
  </si>
  <si>
    <t>QTD ID_Pedidos</t>
  </si>
  <si>
    <t>Status de Entrega</t>
  </si>
  <si>
    <t>Pedidos por Periodo</t>
  </si>
  <si>
    <t>Cidade de Clientes</t>
  </si>
  <si>
    <t>Cidades</t>
  </si>
  <si>
    <t>Vendas Retornadas</t>
  </si>
  <si>
    <t>Resumo</t>
  </si>
  <si>
    <t>QTD Vendas Retornadas</t>
  </si>
  <si>
    <t>Vendas por Cidades</t>
  </si>
  <si>
    <t>Média de Devolução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</si>
</sst>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\R\$\ #,##0.00"/>
    <numFmt numFmtId="170" formatCode="\8%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CFF9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5" fontId="0" fillId="0" borderId="0" xfId="0" applyNumberFormat="1"/>
    <xf numFmtId="14" fontId="0" fillId="0" borderId="0" xfId="0" applyNumberFormat="1"/>
    <xf numFmtId="9" fontId="0" fillId="0" borderId="0" xfId="0" applyNumberFormat="1"/>
    <xf numFmtId="0" fontId="5" fillId="3" borderId="1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165" fontId="3" fillId="3" borderId="0" xfId="0" applyNumberFormat="1" applyFont="1" applyFill="1"/>
    <xf numFmtId="165" fontId="3" fillId="3" borderId="0" xfId="0" applyNumberFormat="1" applyFont="1" applyFill="1" applyAlignment="1"/>
    <xf numFmtId="0" fontId="3" fillId="3" borderId="0" xfId="0" applyFont="1" applyFill="1" applyAlignment="1"/>
    <xf numFmtId="0" fontId="0" fillId="4" borderId="0" xfId="0" applyFill="1"/>
    <xf numFmtId="0" fontId="3" fillId="4" borderId="0" xfId="0" applyFont="1" applyFill="1"/>
    <xf numFmtId="0" fontId="3" fillId="6" borderId="0" xfId="0" applyFont="1" applyFill="1"/>
    <xf numFmtId="0" fontId="3" fillId="7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top"/>
    </xf>
    <xf numFmtId="0" fontId="4" fillId="8" borderId="0" xfId="0" applyFont="1" applyFill="1" applyAlignment="1">
      <alignment horizontal="left"/>
    </xf>
    <xf numFmtId="0" fontId="4" fillId="5" borderId="0" xfId="0" applyFont="1" applyFill="1"/>
    <xf numFmtId="0" fontId="0" fillId="8" borderId="0" xfId="0" applyFill="1" applyAlignment="1">
      <alignment horizontal="left"/>
    </xf>
    <xf numFmtId="165" fontId="0" fillId="8" borderId="0" xfId="0" applyNumberFormat="1" applyFill="1"/>
    <xf numFmtId="0" fontId="0" fillId="0" borderId="0" xfId="0" applyNumberFormat="1"/>
    <xf numFmtId="0" fontId="3" fillId="3" borderId="0" xfId="0" applyNumberFormat="1" applyFont="1" applyFill="1"/>
    <xf numFmtId="0" fontId="3" fillId="3" borderId="0" xfId="0" applyNumberFormat="1" applyFont="1" applyFill="1" applyAlignment="1"/>
    <xf numFmtId="0" fontId="4" fillId="8" borderId="0" xfId="0" applyNumberFormat="1" applyFont="1" applyFill="1"/>
    <xf numFmtId="0" fontId="3" fillId="3" borderId="2" xfId="0" applyFont="1" applyFill="1" applyBorder="1"/>
    <xf numFmtId="170" fontId="3" fillId="3" borderId="3" xfId="1" applyNumberFormat="1" applyFont="1" applyFill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Porcentagem" xfId="1" builtinId="5"/>
  </cellStyles>
  <dxfs count="93">
    <dxf>
      <fill>
        <patternFill>
          <fgColor theme="6" tint="-0.499984740745262"/>
        </patternFill>
      </fill>
    </dxf>
    <dxf>
      <fill>
        <patternFill>
          <f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color theme="0"/>
      </font>
      <fill>
        <patternFill patternType="solid">
          <fgColor indexed="64"/>
          <bgColor rgb="FF00B050"/>
        </patternFill>
      </fill>
    </dxf>
    <dxf>
      <font>
        <b/>
      </font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alignment horizontal="left"/>
    </dxf>
    <dxf>
      <alignment horizontal="left"/>
    </dxf>
    <dxf>
      <alignment horizontal="left"/>
    </dxf>
    <dxf>
      <fill>
        <patternFill>
          <fgColor rgb="FF00B050"/>
        </patternFill>
      </fill>
      <alignment horizontal="general" vertical="bottom" textRotation="0" wrapText="0" indent="0" justifyLastLine="0" shrinkToFit="0" readingOrder="0"/>
    </dxf>
    <dxf>
      <fill>
        <patternFill>
          <fgColor rgb="FF00B050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rgb="FF00B050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  <alignment horizontal="left"/>
    </dxf>
    <dxf>
      <font>
        <color theme="0"/>
      </font>
      <fill>
        <patternFill patternType="solid">
          <fgColor indexed="64"/>
          <bgColor rgb="FF00B050"/>
        </patternFill>
      </fill>
    </dxf>
    <dxf>
      <font>
        <color theme="0"/>
      </font>
      <fill>
        <patternFill patternType="solid">
          <fgColor indexed="64"/>
          <bgColor rgb="FF00B050"/>
        </patternFill>
      </fill>
    </dxf>
    <dxf>
      <font>
        <b/>
      </font>
    </dxf>
    <dxf>
      <font>
        <b/>
      </font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ill>
        <patternFill>
          <fgColor rgb="FF00B050"/>
        </patternFill>
      </fill>
    </dxf>
    <dxf>
      <fill>
        <patternFill patternType="solid">
          <bgColor rgb="FFCCFF99"/>
        </patternFill>
      </fill>
    </dxf>
    <dxf>
      <fill>
        <patternFill patternType="solid">
          <bgColor rgb="FFCCFF99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theme="0"/>
      </font>
      <fill>
        <patternFill patternType="solid">
          <fgColor indexed="64"/>
          <bgColor rgb="FF00B050"/>
        </patternFill>
      </fill>
    </dxf>
    <dxf>
      <font>
        <color theme="0"/>
      </font>
      <fill>
        <patternFill patternType="solid">
          <fgColor indexed="64"/>
          <bgColor rgb="FF00B050"/>
        </patternFill>
      </fill>
    </dxf>
    <dxf>
      <font>
        <color theme="1"/>
      </font>
    </dxf>
    <dxf>
      <fill>
        <patternFill patternType="solid">
          <bgColor rgb="FFCCFF99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ill>
        <patternFill>
          <bgColor theme="1"/>
        </patternFill>
      </fill>
    </dxf>
    <dxf>
      <font>
        <color theme="0"/>
      </font>
    </dxf>
    <dxf>
      <fill>
        <patternFill patternType="solid">
          <bgColor rgb="FF00B050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6" tint="-0.499984740745262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ill>
        <patternFill patternType="solid">
          <bgColor theme="1"/>
        </patternFill>
      </fill>
    </dxf>
    <dxf>
      <font>
        <color theme="0"/>
      </font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 val="0"/>
      </font>
    </dxf>
    <dxf>
      <font>
        <b val="0"/>
      </font>
    </dxf>
    <dxf>
      <fill>
        <patternFill patternType="solid">
          <bgColor theme="0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6" tint="-0.499984740745262"/>
        </patternFill>
      </fill>
      <alignment horizontal="general" vertical="bottom" textRotation="0" wrapText="0" indent="0" justifyLastLine="0" shrinkToFit="0" readingOrder="0"/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6" tint="-0.499984740745262"/>
        </patternFill>
      </fill>
    </dxf>
    <dxf>
      <font>
        <b/>
        <color theme="0"/>
      </font>
      <fill>
        <patternFill patternType="solid">
          <fgColor indexed="64"/>
          <bgColor theme="1"/>
        </patternFill>
      </fill>
    </dxf>
    <dxf>
      <font>
        <b val="0"/>
      </font>
    </dxf>
    <dxf>
      <fill>
        <patternFill patternType="solid">
          <bgColor theme="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>
          <bgColor rgb="FF3DDF35"/>
        </patternFill>
      </fill>
    </dxf>
    <dxf>
      <font>
        <color theme="0"/>
      </font>
    </dxf>
    <dxf>
      <font>
        <b/>
      </font>
    </dxf>
    <dxf>
      <font>
        <b/>
      </font>
    </dxf>
    <dxf>
      <font>
        <color theme="0"/>
      </font>
    </dxf>
    <dxf>
      <fill>
        <patternFill patternType="solid">
          <bgColor theme="6" tint="-0.499984740745262"/>
        </patternFill>
      </fill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theme="6" tint="-0.499984740745262"/>
        </patternFill>
      </fill>
    </dxf>
    <dxf>
      <fill>
        <patternFill patternType="solid">
          <bgColor theme="6" tint="-0.499984740745262"/>
        </patternFill>
      </fill>
    </dxf>
  </dxfs>
  <tableStyles count="0" defaultTableStyle="TableStyleMedium9" defaultPivotStyle="PivotStyleLight16"/>
  <colors>
    <mruColors>
      <color rgb="FF3DDF35"/>
      <color rgb="FFCCFF99"/>
      <color rgb="FFD01B02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[Dados_Logistica_Empresarial.xlsx]Validação Questões!Tabela dinâmica2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Vendas</a:t>
            </a:r>
            <a:r>
              <a:rPr lang="pt-BR" baseline="0"/>
              <a:t> por Periodo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D01B02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FFC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5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Questões'!$E$1:$E$2</c:f>
              <c:strCache>
                <c:ptCount val="1"/>
                <c:pt idx="0">
                  <c:v>Cancelado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'Validação Questões'!$D$3:$D$13</c:f>
              <c:strCache>
                <c:ptCount val="10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</c:strCache>
            </c:strRef>
          </c:cat>
          <c:val>
            <c:numRef>
              <c:f>'Validação Questões'!$E$3:$E$13</c:f>
              <c:numCache>
                <c:formatCode>General</c:formatCode>
                <c:ptCount val="10"/>
                <c:pt idx="0">
                  <c:v>1012</c:v>
                </c:pt>
                <c:pt idx="2">
                  <c:v>2096</c:v>
                </c:pt>
                <c:pt idx="3">
                  <c:v>1063</c:v>
                </c:pt>
                <c:pt idx="4">
                  <c:v>1097</c:v>
                </c:pt>
                <c:pt idx="5">
                  <c:v>3314</c:v>
                </c:pt>
                <c:pt idx="6">
                  <c:v>3403</c:v>
                </c:pt>
                <c:pt idx="7">
                  <c:v>3448</c:v>
                </c:pt>
                <c:pt idx="8">
                  <c:v>1180</c:v>
                </c:pt>
                <c:pt idx="9">
                  <c:v>3561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11-4C08-B297-A8249715AEB8}"/>
            </c:ext>
          </c:extLst>
        </c:ser>
        <c:ser>
          <c:idx val="1"/>
          <c:order val="1"/>
          <c:tx>
            <c:strRef>
              <c:f>'Validação Questões'!$F$1:$F$2</c:f>
              <c:strCache>
                <c:ptCount val="1"/>
                <c:pt idx="0">
                  <c:v>Em transporte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'Validação Questões'!$D$3:$D$13</c:f>
              <c:strCache>
                <c:ptCount val="10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</c:strCache>
            </c:strRef>
          </c:cat>
          <c:val>
            <c:numRef>
              <c:f>'Validação Questões'!$F$3:$F$13</c:f>
              <c:numCache>
                <c:formatCode>General</c:formatCode>
                <c:ptCount val="10"/>
                <c:pt idx="0">
                  <c:v>10112</c:v>
                </c:pt>
                <c:pt idx="1">
                  <c:v>2066</c:v>
                </c:pt>
                <c:pt idx="2">
                  <c:v>4203</c:v>
                </c:pt>
                <c:pt idx="3">
                  <c:v>4285</c:v>
                </c:pt>
                <c:pt idx="4">
                  <c:v>1090</c:v>
                </c:pt>
                <c:pt idx="5">
                  <c:v>2232</c:v>
                </c:pt>
                <c:pt idx="6">
                  <c:v>11308</c:v>
                </c:pt>
                <c:pt idx="7">
                  <c:v>4621</c:v>
                </c:pt>
                <c:pt idx="8">
                  <c:v>5863</c:v>
                </c:pt>
                <c:pt idx="9">
                  <c:v>3558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4211-4C08-B297-A8249715AEB8}"/>
            </c:ext>
          </c:extLst>
        </c:ser>
        <c:ser>
          <c:idx val="2"/>
          <c:order val="2"/>
          <c:tx>
            <c:strRef>
              <c:f>'Validação Questões'!$G$1:$G$2</c:f>
              <c:strCache>
                <c:ptCount val="1"/>
                <c:pt idx="0">
                  <c:v>Entregue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'Validação Questões'!$D$3:$D$13</c:f>
              <c:strCache>
                <c:ptCount val="10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</c:strCache>
            </c:strRef>
          </c:cat>
          <c:val>
            <c:numRef>
              <c:f>'Validação Questões'!$G$3:$G$13</c:f>
              <c:numCache>
                <c:formatCode>General</c:formatCode>
                <c:ptCount val="10"/>
                <c:pt idx="0">
                  <c:v>10107</c:v>
                </c:pt>
                <c:pt idx="1">
                  <c:v>17523</c:v>
                </c:pt>
                <c:pt idx="2">
                  <c:v>14711</c:v>
                </c:pt>
                <c:pt idx="3">
                  <c:v>16062</c:v>
                </c:pt>
                <c:pt idx="4">
                  <c:v>20724</c:v>
                </c:pt>
                <c:pt idx="5">
                  <c:v>16684</c:v>
                </c:pt>
                <c:pt idx="6">
                  <c:v>9061</c:v>
                </c:pt>
                <c:pt idx="7">
                  <c:v>14981</c:v>
                </c:pt>
                <c:pt idx="8">
                  <c:v>16407</c:v>
                </c:pt>
                <c:pt idx="9">
                  <c:v>14328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4211-4C08-B297-A8249715A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684171039"/>
        <c:axId val="358467567"/>
      </c:barChart>
      <c:catAx>
        <c:axId val="684171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58467567"/>
        <c:crosses val="autoZero"/>
        <c:auto val="1"/>
        <c:lblAlgn val="ctr"/>
        <c:lblOffset val="100"/>
        <c:noMultiLvlLbl val="0"/>
      </c:catAx>
      <c:valAx>
        <c:axId val="35846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417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[Dados_Logistica_Empresarial.xlsx]Validação Questões!Tabela dinâmica4</c:name>
    <c:fmtId val="55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lang="en-US" sz="108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1"/>
                </a:solidFill>
              </a:rPr>
              <a:t>Faturamento</a:t>
            </a:r>
            <a:r>
              <a:rPr lang="en-US" b="1" baseline="0">
                <a:solidFill>
                  <a:schemeClr val="bg1"/>
                </a:solidFill>
              </a:rPr>
              <a:t> Canais</a:t>
            </a:r>
            <a:endParaRPr lang="en-US" b="1">
              <a:solidFill>
                <a:schemeClr val="bg1"/>
              </a:solidFill>
            </a:endParaRPr>
          </a:p>
        </c:rich>
      </c:tx>
      <c:layout>
        <c:manualLayout>
          <c:xMode val="edge"/>
          <c:yMode val="edge"/>
          <c:x val="0.33594260091600525"/>
          <c:y val="0.128847278685427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108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'Validação Questões'!$E$33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'Validação Questões'!$D$34:$D$37</c:f>
              <c:strCache>
                <c:ptCount val="3"/>
                <c:pt idx="0">
                  <c:v>Loja Física</c:v>
                </c:pt>
                <c:pt idx="1">
                  <c:v>Marketplace</c:v>
                </c:pt>
                <c:pt idx="2">
                  <c:v>Site</c:v>
                </c:pt>
              </c:strCache>
            </c:strRef>
          </c:cat>
          <c:val>
            <c:numRef>
              <c:f>'Validação Questões'!$E$34:$E$37</c:f>
              <c:numCache>
                <c:formatCode>\R\$\ #,##0.00</c:formatCode>
                <c:ptCount val="3"/>
                <c:pt idx="0">
                  <c:v>31496.82</c:v>
                </c:pt>
                <c:pt idx="1">
                  <c:v>40936.78</c:v>
                </c:pt>
                <c:pt idx="2">
                  <c:v>76563.959999999977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64-4850-A7DD-8B3F1BB47E2C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bg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140970</xdr:rowOff>
    </xdr:from>
    <xdr:to>
      <xdr:col>8</xdr:col>
      <xdr:colOff>7620</xdr:colOff>
      <xdr:row>28</xdr:row>
      <xdr:rowOff>140970</xdr:rowOff>
    </xdr:to>
    <xdr:graphicFrame macro="">
      <xdr:nvGraphicFramePr>
        <xdr:cNvPr id="5" name="Gráfico Acompanhamento">
          <a:extLst>
            <a:ext uri="{FF2B5EF4-FFF2-40B4-BE49-F238E27FC236}">
              <a16:creationId xmlns:a16="http://schemas.microsoft.com/office/drawing/2014/main" id="{81D77A12-18BB-CFBB-9107-0D368B67D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785327</xdr:colOff>
      <xdr:row>38</xdr:row>
      <xdr:rowOff>23328</xdr:rowOff>
    </xdr:from>
    <xdr:to>
      <xdr:col>6</xdr:col>
      <xdr:colOff>373224</xdr:colOff>
      <xdr:row>52</xdr:row>
      <xdr:rowOff>163286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5FE1519-E479-F7D3-6222-A93A65210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a Gabriela" refreshedDate="46301.45825787037" createdVersion="8" refreshedVersion="8" minRefreshableVersion="3" recordCount="200" xr:uid="{EE2742EE-1FB7-48BA-B944-8D182777E35E}">
  <cacheSource type="worksheet">
    <worksheetSource ref="A1:K201" sheet="Pedidos"/>
  </cacheSource>
  <cacheFields count="12">
    <cacheField name="ID_Pedido" numFmtId="0">
      <sharedItems containsSemiMixedTypes="0" containsString="0" containsNumber="1" containsInteger="1" minValue="1001" maxValue="1200" count="2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</sharedItems>
    </cacheField>
    <cacheField name="ID_Cliente" numFmtId="0">
      <sharedItems containsSemiMixedTypes="0" containsString="0" containsNumber="1" containsInteger="1" minValue="1" maxValue="100"/>
    </cacheField>
    <cacheField name="ID_Produto" numFmtId="0">
      <sharedItems containsSemiMixedTypes="0" containsString="0" containsNumber="1" containsInteger="1" minValue="101" maxValue="200"/>
    </cacheField>
    <cacheField name="Data_Pedido" numFmtId="14">
      <sharedItems containsSemiMixedTypes="0" containsNonDate="0" containsDate="1" containsString="0" minDate="2026-01-01T00:00:00" maxDate="2026-10-27T00:00:00" count="200">
        <d v="2026-01-01T00:00:00"/>
        <d v="2026-01-02T00:00:00"/>
        <d v="2026-01-04T00:00:00"/>
        <d v="2026-01-05T00:00:00"/>
        <d v="2026-01-07T00:00:00"/>
        <d v="2026-01-08T00:00:00"/>
        <d v="2026-01-10T00:00:00"/>
        <d v="2026-01-11T00:00:00"/>
        <d v="2026-01-13T00:00:00"/>
        <d v="2026-01-14T00:00:00"/>
        <d v="2026-01-16T00:00:00"/>
        <d v="2026-01-17T00:00:00"/>
        <d v="2026-01-19T00:00:00"/>
        <d v="2026-01-20T00:00:00"/>
        <d v="2026-01-22T00:00:00"/>
        <d v="2026-01-23T00:00:00"/>
        <d v="2026-01-25T00:00:00"/>
        <d v="2026-01-26T00:00:00"/>
        <d v="2026-01-28T00:00:00"/>
        <d v="2026-01-29T00:00:00"/>
        <d v="2026-01-31T00:00:00"/>
        <d v="2026-02-01T00:00:00"/>
        <d v="2026-02-03T00:00:00"/>
        <d v="2026-02-04T00:00:00"/>
        <d v="2026-02-06T00:00:00"/>
        <d v="2026-02-07T00:00:00"/>
        <d v="2026-02-09T00:00:00"/>
        <d v="2026-02-10T00:00:00"/>
        <d v="2026-02-12T00:00:00"/>
        <d v="2026-02-13T00:00:00"/>
        <d v="2026-02-15T00:00:00"/>
        <d v="2026-02-16T00:00:00"/>
        <d v="2026-02-18T00:00:00"/>
        <d v="2026-02-19T00:00:00"/>
        <d v="2026-02-21T00:00:00"/>
        <d v="2026-02-22T00:00:00"/>
        <d v="2026-02-24T00:00:00"/>
        <d v="2026-02-25T00:00:00"/>
        <d v="2026-02-27T00:00:00"/>
        <d v="2026-02-28T00:00:00"/>
        <d v="2026-03-02T00:00:00"/>
        <d v="2026-03-03T00:00:00"/>
        <d v="2026-03-05T00:00:00"/>
        <d v="2026-03-06T00:00:00"/>
        <d v="2026-03-08T00:00:00"/>
        <d v="2026-03-09T00:00:00"/>
        <d v="2026-03-11T00:00:00"/>
        <d v="2026-03-12T00:00:00"/>
        <d v="2026-03-14T00:00:00"/>
        <d v="2026-03-15T00:00:00"/>
        <d v="2026-03-17T00:00:00"/>
        <d v="2026-03-18T00:00:00"/>
        <d v="2026-03-20T00:00:00"/>
        <d v="2026-03-21T00:00:00"/>
        <d v="2026-03-23T00:00:00"/>
        <d v="2026-03-24T00:00:00"/>
        <d v="2026-03-26T00:00:00"/>
        <d v="2026-03-27T00:00:00"/>
        <d v="2026-03-29T00:00:00"/>
        <d v="2026-03-30T00:00:00"/>
        <d v="2026-04-01T00:00:00"/>
        <d v="2026-04-02T00:00:00"/>
        <d v="2026-04-04T00:00:00"/>
        <d v="2026-04-05T00:00:00"/>
        <d v="2026-04-07T00:00:00"/>
        <d v="2026-04-08T00:00:00"/>
        <d v="2026-04-10T00:00:00"/>
        <d v="2026-04-11T00:00:00"/>
        <d v="2026-04-13T00:00:00"/>
        <d v="2026-04-14T00:00:00"/>
        <d v="2026-04-16T00:00:00"/>
        <d v="2026-04-17T00:00:00"/>
        <d v="2026-04-19T00:00:00"/>
        <d v="2026-04-20T00:00:00"/>
        <d v="2026-04-22T00:00:00"/>
        <d v="2026-04-23T00:00:00"/>
        <d v="2026-04-25T00:00:00"/>
        <d v="2026-04-26T00:00:00"/>
        <d v="2026-04-28T00:00:00"/>
        <d v="2026-04-29T00:00:00"/>
        <d v="2026-05-01T00:00:00"/>
        <d v="2026-05-02T00:00:00"/>
        <d v="2026-05-04T00:00:00"/>
        <d v="2026-05-05T00:00:00"/>
        <d v="2026-05-07T00:00:00"/>
        <d v="2026-05-08T00:00:00"/>
        <d v="2026-05-10T00:00:00"/>
        <d v="2026-05-11T00:00:00"/>
        <d v="2026-05-13T00:00:00"/>
        <d v="2026-05-14T00:00:00"/>
        <d v="2026-05-16T00:00:00"/>
        <d v="2026-05-17T00:00:00"/>
        <d v="2026-05-19T00:00:00"/>
        <d v="2026-05-20T00:00:00"/>
        <d v="2026-05-22T00:00:00"/>
        <d v="2026-05-23T00:00:00"/>
        <d v="2026-05-25T00:00:00"/>
        <d v="2026-05-26T00:00:00"/>
        <d v="2026-05-28T00:00:00"/>
        <d v="2026-05-29T00:00:00"/>
        <d v="2026-05-31T00:00:00"/>
        <d v="2026-06-01T00:00:00"/>
        <d v="2026-06-03T00:00:00"/>
        <d v="2026-06-04T00:00:00"/>
        <d v="2026-06-06T00:00:00"/>
        <d v="2026-06-07T00:00:00"/>
        <d v="2026-06-09T00:00:00"/>
        <d v="2026-06-10T00:00:00"/>
        <d v="2026-06-12T00:00:00"/>
        <d v="2026-06-13T00:00:00"/>
        <d v="2026-06-15T00:00:00"/>
        <d v="2026-06-16T00:00:00"/>
        <d v="2026-06-18T00:00:00"/>
        <d v="2026-06-19T00:00:00"/>
        <d v="2026-06-21T00:00:00"/>
        <d v="2026-06-22T00:00:00"/>
        <d v="2026-06-24T00:00:00"/>
        <d v="2026-06-25T00:00:00"/>
        <d v="2026-06-27T00:00:00"/>
        <d v="2026-06-28T00:00:00"/>
        <d v="2026-06-30T00:00:00"/>
        <d v="2026-07-01T00:00:00"/>
        <d v="2026-07-03T00:00:00"/>
        <d v="2026-07-04T00:00:00"/>
        <d v="2026-07-06T00:00:00"/>
        <d v="2026-07-07T00:00:00"/>
        <d v="2026-07-09T00:00:00"/>
        <d v="2026-07-10T00:00:00"/>
        <d v="2026-07-12T00:00:00"/>
        <d v="2026-07-13T00:00:00"/>
        <d v="2026-07-15T00:00:00"/>
        <d v="2026-07-16T00:00:00"/>
        <d v="2026-07-18T00:00:00"/>
        <d v="2026-07-19T00:00:00"/>
        <d v="2026-07-21T00:00:00"/>
        <d v="2026-07-22T00:00:00"/>
        <d v="2026-07-24T00:00:00"/>
        <d v="2026-07-25T00:00:00"/>
        <d v="2026-07-27T00:00:00"/>
        <d v="2026-07-28T00:00:00"/>
        <d v="2026-07-30T00:00:00"/>
        <d v="2026-07-31T00:00:00"/>
        <d v="2026-08-02T00:00:00"/>
        <d v="2026-08-03T00:00:00"/>
        <d v="2026-08-05T00:00:00"/>
        <d v="2026-08-06T00:00:00"/>
        <d v="2026-08-08T00:00:00"/>
        <d v="2026-08-09T00:00:00"/>
        <d v="2026-08-11T00:00:00"/>
        <d v="2026-08-12T00:00:00"/>
        <d v="2026-08-14T00:00:00"/>
        <d v="2026-08-15T00:00:00"/>
        <d v="2026-08-17T00:00:00"/>
        <d v="2026-08-18T00:00:00"/>
        <d v="2026-08-20T00:00:00"/>
        <d v="2026-08-21T00:00:00"/>
        <d v="2026-08-23T00:00:00"/>
        <d v="2026-08-24T00:00:00"/>
        <d v="2026-08-26T00:00:00"/>
        <d v="2026-08-27T00:00:00"/>
        <d v="2026-08-29T00:00:00"/>
        <d v="2026-08-30T00:00:00"/>
        <d v="2026-09-01T00:00:00"/>
        <d v="2026-09-02T00:00:00"/>
        <d v="2026-09-04T00:00:00"/>
        <d v="2026-09-05T00:00:00"/>
        <d v="2026-09-07T00:00:00"/>
        <d v="2026-09-08T00:00:00"/>
        <d v="2026-09-10T00:00:00"/>
        <d v="2026-09-11T00:00:00"/>
        <d v="2026-09-13T00:00:00"/>
        <d v="2026-09-14T00:00:00"/>
        <d v="2026-09-16T00:00:00"/>
        <d v="2026-09-17T00:00:00"/>
        <d v="2026-09-19T00:00:00"/>
        <d v="2026-09-20T00:00:00"/>
        <d v="2026-09-22T00:00:00"/>
        <d v="2026-09-23T00:00:00"/>
        <d v="2026-09-25T00:00:00"/>
        <d v="2026-09-26T00:00:00"/>
        <d v="2026-09-28T00:00:00"/>
        <d v="2026-09-29T00:00:00"/>
        <d v="2026-10-01T00:00:00"/>
        <d v="2026-10-02T00:00:00"/>
        <d v="2026-10-04T00:00:00"/>
        <d v="2026-10-05T00:00:00"/>
        <d v="2026-10-07T00:00:00"/>
        <d v="2026-10-08T00:00:00"/>
        <d v="2026-10-10T00:00:00"/>
        <d v="2026-10-11T00:00:00"/>
        <d v="2026-10-13T00:00:00"/>
        <d v="2026-10-14T00:00:00"/>
        <d v="2026-10-16T00:00:00"/>
        <d v="2026-10-17T00:00:00"/>
        <d v="2026-10-19T00:00:00"/>
        <d v="2026-10-20T00:00:00"/>
        <d v="2026-10-22T00:00:00"/>
        <d v="2026-10-23T00:00:00"/>
        <d v="2026-10-25T00:00:00"/>
        <d v="2026-10-26T00:00:00"/>
      </sharedItems>
      <fieldGroup par="11"/>
    </cacheField>
    <cacheField name="Quantidade" numFmtId="0">
      <sharedItems containsSemiMixedTypes="0" containsString="0" containsNumber="1" containsInteger="1" minValue="1" maxValue="4"/>
    </cacheField>
    <cacheField name="Canal_Venda" numFmtId="0">
      <sharedItems count="3">
        <s v="Marketplace"/>
        <s v="Loja Física"/>
        <s v="Site"/>
      </sharedItems>
    </cacheField>
    <cacheField name="Status" numFmtId="0">
      <sharedItems count="3">
        <s v="Entregue"/>
        <s v="Em transporte"/>
        <s v="Cancelado"/>
      </sharedItems>
    </cacheField>
    <cacheField name="Preco_Unitario" numFmtId="165">
      <sharedItems containsSemiMixedTypes="0" containsString="0" containsNumber="1" minValue="70" maxValue="3920"/>
    </cacheField>
    <cacheField name="Desconto" numFmtId="9">
      <sharedItems containsSemiMixedTypes="0" containsString="0" containsNumber="1" minValue="0" maxValue="0.15"/>
    </cacheField>
    <cacheField name="Valor_Bruto" numFmtId="165">
      <sharedItems containsSemiMixedTypes="0" containsString="0" containsNumber="1" minValue="70" maxValue="7840"/>
    </cacheField>
    <cacheField name="Valor_Liquido" numFmtId="165">
      <sharedItems containsSemiMixedTypes="0" containsString="0" containsNumber="1" minValue="59.5" maxValue="7056"/>
    </cacheField>
    <cacheField name="Meses (Data_Pedido)" numFmtId="0" databaseField="0">
      <fieldGroup base="3">
        <rangePr groupBy="months" startDate="2026-01-01T00:00:00" endDate="2026-10-27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7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a Gabriela" refreshedDate="46301.580431249997" createdVersion="8" refreshedVersion="8" minRefreshableVersion="3" recordCount="200" xr:uid="{DD60B870-0F15-4FB1-82DC-C2B726C72881}">
  <cacheSource type="worksheet">
    <worksheetSource ref="A1:M201" sheet="Pedidos"/>
  </cacheSource>
  <cacheFields count="15">
    <cacheField name="ID_Pedido" numFmtId="0">
      <sharedItems containsSemiMixedTypes="0" containsString="0" containsNumber="1" containsInteger="1" minValue="1001" maxValue="1200"/>
    </cacheField>
    <cacheField name="ID_Cliente" numFmtId="0">
      <sharedItems containsSemiMixedTypes="0" containsString="0" containsNumber="1" containsInteger="1" minValue="1" maxValue="100"/>
    </cacheField>
    <cacheField name="ID_Produto" numFmtId="0">
      <sharedItems containsSemiMixedTypes="0" containsString="0" containsNumber="1" containsInteger="1" minValue="101" maxValue="200" count="87">
        <n v="152"/>
        <n v="193"/>
        <n v="115"/>
        <n v="172"/>
        <n v="161"/>
        <n v="121"/>
        <n v="183"/>
        <n v="187"/>
        <n v="175"/>
        <n v="188"/>
        <n v="200"/>
        <n v="124"/>
        <n v="103"/>
        <n v="122"/>
        <n v="153"/>
        <n v="102"/>
        <n v="130"/>
        <n v="138"/>
        <n v="164"/>
        <n v="160"/>
        <n v="133"/>
        <n v="176"/>
        <n v="158"/>
        <n v="189"/>
        <n v="149"/>
        <n v="191"/>
        <n v="159"/>
        <n v="142"/>
        <n v="192"/>
        <n v="180"/>
        <n v="162"/>
        <n v="147"/>
        <n v="151"/>
        <n v="155"/>
        <n v="107"/>
        <n v="173"/>
        <n v="139"/>
        <n v="118"/>
        <n v="104"/>
        <n v="114"/>
        <n v="109"/>
        <n v="190"/>
        <n v="184"/>
        <n v="171"/>
        <n v="144"/>
        <n v="108"/>
        <n v="135"/>
        <n v="178"/>
        <n v="181"/>
        <n v="136"/>
        <n v="150"/>
        <n v="106"/>
        <n v="154"/>
        <n v="163"/>
        <n v="134"/>
        <n v="174"/>
        <n v="195"/>
        <n v="148"/>
        <n v="140"/>
        <n v="185"/>
        <n v="182"/>
        <n v="126"/>
        <n v="141"/>
        <n v="129"/>
        <n v="145"/>
        <n v="165"/>
        <n v="101"/>
        <n v="111"/>
        <n v="105"/>
        <n v="128"/>
        <n v="112"/>
        <n v="123"/>
        <n v="137"/>
        <n v="199"/>
        <n v="186"/>
        <n v="127"/>
        <n v="179"/>
        <n v="177"/>
        <n v="196"/>
        <n v="194"/>
        <n v="143"/>
        <n v="113"/>
        <n v="132"/>
        <n v="166"/>
        <n v="157"/>
        <n v="197"/>
        <n v="170"/>
      </sharedItems>
    </cacheField>
    <cacheField name="Data_Pedido" numFmtId="14">
      <sharedItems containsSemiMixedTypes="0" containsNonDate="0" containsDate="1" containsString="0" minDate="2026-01-01T00:00:00" maxDate="2026-10-27T00:00:00" count="200">
        <d v="2026-01-01T00:00:00"/>
        <d v="2026-01-02T00:00:00"/>
        <d v="2026-01-04T00:00:00"/>
        <d v="2026-01-05T00:00:00"/>
        <d v="2026-01-07T00:00:00"/>
        <d v="2026-01-08T00:00:00"/>
        <d v="2026-01-10T00:00:00"/>
        <d v="2026-01-11T00:00:00"/>
        <d v="2026-01-13T00:00:00"/>
        <d v="2026-01-14T00:00:00"/>
        <d v="2026-01-16T00:00:00"/>
        <d v="2026-01-17T00:00:00"/>
        <d v="2026-01-19T00:00:00"/>
        <d v="2026-01-20T00:00:00"/>
        <d v="2026-01-22T00:00:00"/>
        <d v="2026-01-23T00:00:00"/>
        <d v="2026-01-25T00:00:00"/>
        <d v="2026-01-26T00:00:00"/>
        <d v="2026-01-28T00:00:00"/>
        <d v="2026-01-29T00:00:00"/>
        <d v="2026-01-31T00:00:00"/>
        <d v="2026-02-01T00:00:00"/>
        <d v="2026-02-03T00:00:00"/>
        <d v="2026-02-04T00:00:00"/>
        <d v="2026-02-06T00:00:00"/>
        <d v="2026-02-07T00:00:00"/>
        <d v="2026-02-09T00:00:00"/>
        <d v="2026-02-10T00:00:00"/>
        <d v="2026-02-12T00:00:00"/>
        <d v="2026-02-13T00:00:00"/>
        <d v="2026-02-15T00:00:00"/>
        <d v="2026-02-16T00:00:00"/>
        <d v="2026-02-18T00:00:00"/>
        <d v="2026-02-19T00:00:00"/>
        <d v="2026-02-21T00:00:00"/>
        <d v="2026-02-22T00:00:00"/>
        <d v="2026-02-24T00:00:00"/>
        <d v="2026-02-25T00:00:00"/>
        <d v="2026-02-27T00:00:00"/>
        <d v="2026-02-28T00:00:00"/>
        <d v="2026-03-02T00:00:00"/>
        <d v="2026-03-03T00:00:00"/>
        <d v="2026-03-05T00:00:00"/>
        <d v="2026-03-06T00:00:00"/>
        <d v="2026-03-08T00:00:00"/>
        <d v="2026-03-09T00:00:00"/>
        <d v="2026-03-11T00:00:00"/>
        <d v="2026-03-12T00:00:00"/>
        <d v="2026-03-14T00:00:00"/>
        <d v="2026-03-15T00:00:00"/>
        <d v="2026-03-17T00:00:00"/>
        <d v="2026-03-18T00:00:00"/>
        <d v="2026-03-20T00:00:00"/>
        <d v="2026-03-21T00:00:00"/>
        <d v="2026-03-23T00:00:00"/>
        <d v="2026-03-24T00:00:00"/>
        <d v="2026-03-26T00:00:00"/>
        <d v="2026-03-27T00:00:00"/>
        <d v="2026-03-29T00:00:00"/>
        <d v="2026-03-30T00:00:00"/>
        <d v="2026-04-01T00:00:00"/>
        <d v="2026-04-02T00:00:00"/>
        <d v="2026-04-04T00:00:00"/>
        <d v="2026-04-05T00:00:00"/>
        <d v="2026-04-07T00:00:00"/>
        <d v="2026-04-08T00:00:00"/>
        <d v="2026-04-10T00:00:00"/>
        <d v="2026-04-11T00:00:00"/>
        <d v="2026-04-13T00:00:00"/>
        <d v="2026-04-14T00:00:00"/>
        <d v="2026-04-16T00:00:00"/>
        <d v="2026-04-17T00:00:00"/>
        <d v="2026-04-19T00:00:00"/>
        <d v="2026-04-20T00:00:00"/>
        <d v="2026-04-22T00:00:00"/>
        <d v="2026-04-23T00:00:00"/>
        <d v="2026-04-25T00:00:00"/>
        <d v="2026-04-26T00:00:00"/>
        <d v="2026-04-28T00:00:00"/>
        <d v="2026-04-29T00:00:00"/>
        <d v="2026-05-01T00:00:00"/>
        <d v="2026-05-02T00:00:00"/>
        <d v="2026-05-04T00:00:00"/>
        <d v="2026-05-05T00:00:00"/>
        <d v="2026-05-07T00:00:00"/>
        <d v="2026-05-08T00:00:00"/>
        <d v="2026-05-10T00:00:00"/>
        <d v="2026-05-11T00:00:00"/>
        <d v="2026-05-13T00:00:00"/>
        <d v="2026-05-14T00:00:00"/>
        <d v="2026-05-16T00:00:00"/>
        <d v="2026-05-17T00:00:00"/>
        <d v="2026-05-19T00:00:00"/>
        <d v="2026-05-20T00:00:00"/>
        <d v="2026-05-22T00:00:00"/>
        <d v="2026-05-23T00:00:00"/>
        <d v="2026-05-25T00:00:00"/>
        <d v="2026-05-26T00:00:00"/>
        <d v="2026-05-28T00:00:00"/>
        <d v="2026-05-29T00:00:00"/>
        <d v="2026-05-31T00:00:00"/>
        <d v="2026-06-01T00:00:00"/>
        <d v="2026-06-03T00:00:00"/>
        <d v="2026-06-04T00:00:00"/>
        <d v="2026-06-06T00:00:00"/>
        <d v="2026-06-07T00:00:00"/>
        <d v="2026-06-09T00:00:00"/>
        <d v="2026-06-10T00:00:00"/>
        <d v="2026-06-12T00:00:00"/>
        <d v="2026-06-13T00:00:00"/>
        <d v="2026-06-15T00:00:00"/>
        <d v="2026-06-16T00:00:00"/>
        <d v="2026-06-18T00:00:00"/>
        <d v="2026-06-19T00:00:00"/>
        <d v="2026-06-21T00:00:00"/>
        <d v="2026-06-22T00:00:00"/>
        <d v="2026-06-24T00:00:00"/>
        <d v="2026-06-25T00:00:00"/>
        <d v="2026-06-27T00:00:00"/>
        <d v="2026-06-28T00:00:00"/>
        <d v="2026-06-30T00:00:00"/>
        <d v="2026-07-01T00:00:00"/>
        <d v="2026-07-03T00:00:00"/>
        <d v="2026-07-04T00:00:00"/>
        <d v="2026-07-06T00:00:00"/>
        <d v="2026-07-07T00:00:00"/>
        <d v="2026-07-09T00:00:00"/>
        <d v="2026-07-10T00:00:00"/>
        <d v="2026-07-12T00:00:00"/>
        <d v="2026-07-13T00:00:00"/>
        <d v="2026-07-15T00:00:00"/>
        <d v="2026-07-16T00:00:00"/>
        <d v="2026-07-18T00:00:00"/>
        <d v="2026-07-19T00:00:00"/>
        <d v="2026-07-21T00:00:00"/>
        <d v="2026-07-22T00:00:00"/>
        <d v="2026-07-24T00:00:00"/>
        <d v="2026-07-25T00:00:00"/>
        <d v="2026-07-27T00:00:00"/>
        <d v="2026-07-28T00:00:00"/>
        <d v="2026-07-30T00:00:00"/>
        <d v="2026-07-31T00:00:00"/>
        <d v="2026-08-02T00:00:00"/>
        <d v="2026-08-03T00:00:00"/>
        <d v="2026-08-05T00:00:00"/>
        <d v="2026-08-06T00:00:00"/>
        <d v="2026-08-08T00:00:00"/>
        <d v="2026-08-09T00:00:00"/>
        <d v="2026-08-11T00:00:00"/>
        <d v="2026-08-12T00:00:00"/>
        <d v="2026-08-14T00:00:00"/>
        <d v="2026-08-15T00:00:00"/>
        <d v="2026-08-17T00:00:00"/>
        <d v="2026-08-18T00:00:00"/>
        <d v="2026-08-20T00:00:00"/>
        <d v="2026-08-21T00:00:00"/>
        <d v="2026-08-23T00:00:00"/>
        <d v="2026-08-24T00:00:00"/>
        <d v="2026-08-26T00:00:00"/>
        <d v="2026-08-27T00:00:00"/>
        <d v="2026-08-29T00:00:00"/>
        <d v="2026-08-30T00:00:00"/>
        <d v="2026-09-01T00:00:00"/>
        <d v="2026-09-02T00:00:00"/>
        <d v="2026-09-04T00:00:00"/>
        <d v="2026-09-05T00:00:00"/>
        <d v="2026-09-07T00:00:00"/>
        <d v="2026-09-08T00:00:00"/>
        <d v="2026-09-10T00:00:00"/>
        <d v="2026-09-11T00:00:00"/>
        <d v="2026-09-13T00:00:00"/>
        <d v="2026-09-14T00:00:00"/>
        <d v="2026-09-16T00:00:00"/>
        <d v="2026-09-17T00:00:00"/>
        <d v="2026-09-19T00:00:00"/>
        <d v="2026-09-20T00:00:00"/>
        <d v="2026-09-22T00:00:00"/>
        <d v="2026-09-23T00:00:00"/>
        <d v="2026-09-25T00:00:00"/>
        <d v="2026-09-26T00:00:00"/>
        <d v="2026-09-28T00:00:00"/>
        <d v="2026-09-29T00:00:00"/>
        <d v="2026-10-01T00:00:00"/>
        <d v="2026-10-02T00:00:00"/>
        <d v="2026-10-04T00:00:00"/>
        <d v="2026-10-05T00:00:00"/>
        <d v="2026-10-07T00:00:00"/>
        <d v="2026-10-08T00:00:00"/>
        <d v="2026-10-10T00:00:00"/>
        <d v="2026-10-11T00:00:00"/>
        <d v="2026-10-13T00:00:00"/>
        <d v="2026-10-14T00:00:00"/>
        <d v="2026-10-16T00:00:00"/>
        <d v="2026-10-17T00:00:00"/>
        <d v="2026-10-19T00:00:00"/>
        <d v="2026-10-20T00:00:00"/>
        <d v="2026-10-22T00:00:00"/>
        <d v="2026-10-23T00:00:00"/>
        <d v="2026-10-25T00:00:00"/>
        <d v="2026-10-26T00:00:00"/>
      </sharedItems>
      <fieldGroup par="14"/>
    </cacheField>
    <cacheField name="Quantidade" numFmtId="0">
      <sharedItems containsSemiMixedTypes="0" containsString="0" containsNumber="1" containsInteger="1" minValue="1" maxValue="4"/>
    </cacheField>
    <cacheField name="Canal_Venda" numFmtId="0">
      <sharedItems/>
    </cacheField>
    <cacheField name="Status" numFmtId="0">
      <sharedItems count="3">
        <s v="Entregue"/>
        <s v="Em transporte"/>
        <s v="Cancelado"/>
      </sharedItems>
    </cacheField>
    <cacheField name="Preco_Unitario" numFmtId="165">
      <sharedItems containsSemiMixedTypes="0" containsString="0" containsNumber="1" minValue="70" maxValue="3920"/>
    </cacheField>
    <cacheField name="Desconto" numFmtId="9">
      <sharedItems containsSemiMixedTypes="0" containsString="0" containsNumber="1" minValue="0" maxValue="0.15"/>
    </cacheField>
    <cacheField name="Valor_Bruto" numFmtId="165">
      <sharedItems containsSemiMixedTypes="0" containsString="0" containsNumber="1" minValue="70" maxValue="7840"/>
    </cacheField>
    <cacheField name="Valor_Liquido" numFmtId="165">
      <sharedItems containsSemiMixedTypes="0" containsString="0" containsNumber="1" minValue="59.5" maxValue="7056" count="163">
        <n v="1456"/>
        <n v="201.6"/>
        <n v="500"/>
        <n v="430.92"/>
        <n v="3780"/>
        <n v="260"/>
        <n v="1409.4"/>
        <n v="68.040000000000006"/>
        <n v="540"/>
        <n v="1620"/>
        <n v="112.86"/>
        <n v="358.4"/>
        <n v="1300"/>
        <n v="720"/>
        <n v="665"/>
        <n v="1432.6"/>
        <n v="4800"/>
        <n v="356.4"/>
        <n v="1800"/>
        <n v="2173.6"/>
        <n v="1200"/>
        <n v="194.4"/>
        <n v="1778.4"/>
        <n v="520"/>
        <n v="355.68"/>
        <n v="378"/>
        <n v="228.8"/>
        <n v="700"/>
        <n v="666.9"/>
        <n v="280.8"/>
        <n v="7056"/>
        <n v="676"/>
        <n v="414.96"/>
        <n v="2688"/>
        <n v="624"/>
        <n v="544.32000000000005"/>
        <n v="1296"/>
        <n v="2592"/>
        <n v="83.2"/>
        <n v="256.88"/>
        <n v="187.2"/>
        <n v="349.92"/>
        <n v="162"/>
        <n v="811.2"/>
        <n v="250"/>
        <n v="3693.6"/>
        <n v="1976"/>
        <n v="133"/>
        <n v="90"/>
        <n v="1872"/>
        <n v="1350"/>
        <n v="3420"/>
        <n v="615.6"/>
        <n v="3016"/>
        <n v="3240"/>
        <n v="1404"/>
        <n v="1209.5999999999999"/>
        <n v="1185.5999999999999"/>
        <n v="691.2"/>
        <n v="2200"/>
        <n v="166.4"/>
        <n v="839.8"/>
        <n v="151.19999999999999"/>
        <n v="3088.8"/>
        <n v="495.04"/>
        <n v="180"/>
        <n v="3300"/>
        <n v="1352"/>
        <n v="243"/>
        <n v="191.52"/>
        <n v="1231.2"/>
        <n v="842.4"/>
        <n v="93.6"/>
        <n v="1458"/>
        <n v="322.56"/>
        <n v="1215"/>
        <n v="1808.8"/>
        <n v="138.32"/>
        <n v="1425"/>
        <n v="907.2"/>
        <n v="136.08000000000001"/>
        <n v="75.599999999999994"/>
        <n v="332.8"/>
        <n v="388.8"/>
        <n v="1436.4"/>
        <n v="1508"/>
        <n v="1235"/>
        <n v="120"/>
        <n v="665.6"/>
        <n v="1500"/>
        <n v="494"/>
        <n v="2754"/>
        <n v="933.12"/>
        <n v="902.5"/>
        <n v="118.8"/>
        <n v="7000"/>
        <n v="640"/>
        <n v="533.52"/>
        <n v="4400"/>
        <n v="1679.6"/>
        <n v="884"/>
        <n v="807.5"/>
        <n v="998.4"/>
        <n v="209"/>
        <n v="1944"/>
        <n v="1224.72"/>
        <n v="399"/>
        <n v="177.84"/>
        <n v="374.4"/>
        <n v="276.64"/>
        <n v="1450"/>
        <n v="3888"/>
        <n v="320.76"/>
        <n v="259.2"/>
        <n v="3920"/>
        <n v="1591.2"/>
        <n v="1744.2"/>
        <n v="957.6"/>
        <n v="158.08000000000001"/>
        <n v="486"/>
        <n v="3500"/>
        <n v="850"/>
        <n v="1147.5"/>
        <n v="63"/>
        <n v="2850"/>
        <n v="923.4"/>
        <n v="900"/>
        <n v="77.760000000000005"/>
        <n v="270.39999999999998"/>
        <n v="554.04"/>
        <n v="1232"/>
        <n v="655.20000000000005"/>
        <n v="1047.2"/>
        <n v="302.39999999999998"/>
        <n v="1305"/>
        <n v="450"/>
        <n v="3744"/>
        <n v="585"/>
        <n v="1144"/>
        <n v="1710"/>
        <n v="1248"/>
        <n v="345.6"/>
        <n v="123.12"/>
        <n v="330"/>
        <n v="1128.5999999999999"/>
        <n v="873.6"/>
        <n v="1040"/>
        <n v="1100"/>
        <n v="418"/>
        <n v="99"/>
        <n v="444.6"/>
        <n v="2400"/>
        <n v="2332.8000000000002"/>
        <n v="1080"/>
        <n v="1166.4000000000001"/>
        <n v="798"/>
        <n v="2975"/>
        <n v="70"/>
        <n v="86.4"/>
        <n v="360"/>
        <n v="164.16"/>
        <n v="816.48"/>
        <n v="59.5"/>
      </sharedItems>
    </cacheField>
    <cacheField name="Produtos" numFmtId="0">
      <sharedItems count="54">
        <s v="Nobreak "/>
        <s v="Teclado "/>
        <s v="SSD"/>
        <s v="Headset "/>
        <s v="Notebook "/>
        <s v="Estabilizador"/>
        <s v="Cadeira Gamer "/>
        <s v="Pen Drive "/>
        <s v="SSD "/>
        <s v="Carregador "/>
        <s v="Mochila "/>
        <s v="Armário"/>
        <s v="Teclado"/>
        <s v="Nobreak"/>
        <s v="Monitor"/>
        <s v="Mesa Digitalizadora"/>
        <s v="Smartphone "/>
        <s v="Mouse "/>
        <s v="Mesa Digitalizadora "/>
        <s v="Teclado Mecânico "/>
        <s v="Smartwatch "/>
        <s v="Caixa de Som "/>
        <s v="Monitor "/>
        <s v="Roteador "/>
        <s v="Mousepad "/>
        <s v="Estabilizador "/>
        <s v="Luminária "/>
        <s v="Fone de Ouvido"/>
        <s v="Tablet "/>
        <s v="Impressora "/>
        <s v="Suporte Notebook"/>
        <s v="Mouse"/>
        <s v="HD Externo"/>
        <s v="Impressora"/>
        <s v="Armário "/>
        <s v="Webcam "/>
        <s v="HD Externo "/>
        <s v="Smartphone"/>
        <s v="Cadeira Escritório "/>
        <s v="Suporte Notebook "/>
        <s v="Mesa Escritório "/>
        <s v="Mesa Escritório"/>
        <s v="Hub USB"/>
        <s v="Smartwatch"/>
        <s v="Notebook"/>
        <s v="Webcam"/>
        <s v="Cadeira Escritório"/>
        <s v="Carregador"/>
        <s v="Headset"/>
        <s v="Cadeira Gamer"/>
        <s v="Fone de Ouvido "/>
        <s v="Hub USB "/>
        <s v="Pen Drive"/>
        <s v="Tablet"/>
      </sharedItems>
    </cacheField>
    <cacheField name="Categoria" numFmtId="0">
      <sharedItems count="4">
        <s v="Informática"/>
        <s v="Eletrônicos"/>
        <s v="Móveis"/>
        <s v="Acessórios"/>
      </sharedItems>
    </cacheField>
    <cacheField name="Dias (Data_Pedido)" numFmtId="0" databaseField="0">
      <fieldGroup base="3">
        <rangePr groupBy="days" startDate="2026-01-01T00:00:00" endDate="2026-10-27T00:00:00"/>
        <groupItems count="368">
          <s v="&lt;01/01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7/10/2026"/>
        </groupItems>
      </fieldGroup>
    </cacheField>
    <cacheField name="Meses (Data_Pedido)" numFmtId="0" databaseField="0">
      <fieldGroup base="3">
        <rangePr groupBy="months" startDate="2026-01-01T00:00:00" endDate="2026-10-27T00:00:00"/>
        <groupItems count="14">
          <s v="&lt;01/01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7/10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a Gabriela" refreshedDate="46301.677922453702" createdVersion="8" refreshedVersion="8" minRefreshableVersion="3" recordCount="200" xr:uid="{A6BE3178-6A75-4173-93F9-5FBC139484A8}">
  <cacheSource type="worksheet">
    <worksheetSource ref="A1:N201" sheet="Pedidos"/>
  </cacheSource>
  <cacheFields count="14">
    <cacheField name="ID_Pedido" numFmtId="0">
      <sharedItems containsSemiMixedTypes="0" containsString="0" containsNumber="1" containsInteger="1" minValue="1001" maxValue="1200"/>
    </cacheField>
    <cacheField name="ID_Cliente" numFmtId="0">
      <sharedItems containsSemiMixedTypes="0" containsString="0" containsNumber="1" containsInteger="1" minValue="1" maxValue="100"/>
    </cacheField>
    <cacheField name="ID_Produto" numFmtId="0">
      <sharedItems containsSemiMixedTypes="0" containsString="0" containsNumber="1" containsInteger="1" minValue="101" maxValue="200"/>
    </cacheField>
    <cacheField name="Data_Pedido" numFmtId="14">
      <sharedItems containsSemiMixedTypes="0" containsNonDate="0" containsDate="1" containsString="0" minDate="2026-01-01T00:00:00" maxDate="2026-10-27T00:00:00"/>
    </cacheField>
    <cacheField name="Quantidade" numFmtId="0">
      <sharedItems containsSemiMixedTypes="0" containsString="0" containsNumber="1" containsInteger="1" minValue="1" maxValue="4"/>
    </cacheField>
    <cacheField name="Canal_Venda" numFmtId="0">
      <sharedItems/>
    </cacheField>
    <cacheField name="Status" numFmtId="0">
      <sharedItems/>
    </cacheField>
    <cacheField name="Preco_Unitario" numFmtId="165">
      <sharedItems containsSemiMixedTypes="0" containsString="0" containsNumber="1" minValue="70" maxValue="3920"/>
    </cacheField>
    <cacheField name="Desconto" numFmtId="9">
      <sharedItems containsSemiMixedTypes="0" containsString="0" containsNumber="1" minValue="0" maxValue="0.15"/>
    </cacheField>
    <cacheField name="Valor_Bruto" numFmtId="165">
      <sharedItems containsSemiMixedTypes="0" containsString="0" containsNumber="1" minValue="70" maxValue="7840"/>
    </cacheField>
    <cacheField name="Valor_Liquido" numFmtId="165">
      <sharedItems containsSemiMixedTypes="0" containsString="0" containsNumber="1" minValue="59.5" maxValue="7056"/>
    </cacheField>
    <cacheField name="Produtos" numFmtId="0">
      <sharedItems/>
    </cacheField>
    <cacheField name="Categoria" numFmtId="0">
      <sharedItems/>
    </cacheField>
    <cacheField name="Cidade de Clientes" numFmtId="0">
      <sharedItems count="15">
        <s v="Campinas"/>
        <s v="Santo André"/>
        <s v="Mogi das Cruzes"/>
        <s v="Osasco"/>
        <s v="Piracicaba"/>
        <s v="São Bernardo do Campo"/>
        <s v="Bauru"/>
        <s v="Diadema"/>
        <s v="Mauá"/>
        <s v="Jundiaí"/>
        <s v="São Paulo"/>
        <s v="Santos"/>
        <s v="São José dos Campos"/>
        <s v="Sorocaba"/>
        <s v="Guarulh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a Gabriela" refreshedDate="46301.723435879627" createdVersion="8" refreshedVersion="8" minRefreshableVersion="3" recordCount="40" xr:uid="{C308FBD9-B8FA-4BF1-BF5C-A275F71A50D8}">
  <cacheSource type="worksheet">
    <worksheetSource ref="A1:F41" sheet="Devolucoes"/>
  </cacheSource>
  <cacheFields count="6">
    <cacheField name="ID_Devolucao" numFmtId="0">
      <sharedItems containsSemiMixedTypes="0" containsString="0" containsNumber="1" containsInteger="1" minValue="1" maxValue="40"/>
    </cacheField>
    <cacheField name="ID_Pedido" numFmtId="0">
      <sharedItems containsSemiMixedTypes="0" containsString="0" containsNumber="1" containsInteger="1" minValue="1001" maxValue="1194" count="40">
        <n v="1094"/>
        <n v="1159"/>
        <n v="1001"/>
        <n v="1139"/>
        <n v="1068"/>
        <n v="1138"/>
        <n v="1169"/>
        <n v="1016"/>
        <n v="1163"/>
        <n v="1084"/>
        <n v="1143"/>
        <n v="1022"/>
        <n v="1178"/>
        <n v="1023"/>
        <n v="1056"/>
        <n v="1153"/>
        <n v="1171"/>
        <n v="1194"/>
        <n v="1089"/>
        <n v="1179"/>
        <n v="1091"/>
        <n v="1136"/>
        <n v="1008"/>
        <n v="1027"/>
        <n v="1100"/>
        <n v="1127"/>
        <n v="1035"/>
        <n v="1120"/>
        <n v="1135"/>
        <n v="1075"/>
        <n v="1013"/>
        <n v="1175"/>
        <n v="1079"/>
        <n v="1116"/>
        <n v="1002"/>
        <n v="1054"/>
        <n v="1177"/>
        <n v="1046"/>
        <n v="1031"/>
        <n v="1124"/>
      </sharedItems>
    </cacheField>
    <cacheField name="Data_Devolucao" numFmtId="14">
      <sharedItems containsSemiMixedTypes="0" containsNonDate="0" containsDate="1" containsString="0" minDate="2026-01-10T00:00:00" maxDate="2026-10-26T00:00:00"/>
    </cacheField>
    <cacheField name="Motivo" numFmtId="0">
      <sharedItems count="5">
        <s v="Produto com defeito"/>
        <s v="Produto danificado no transporte"/>
        <s v="Cliente desistiu da compra"/>
        <s v="Produto diferente do esperado"/>
        <s v="Embalagem danificada"/>
      </sharedItems>
    </cacheField>
    <cacheField name="Quantidade_Devolvida" numFmtId="0">
      <sharedItems containsSemiMixedTypes="0" containsString="0" containsNumber="1" containsInteger="1" minValue="1" maxValue="2"/>
    </cacheField>
    <cacheField name="Status_Devolucao" numFmtId="0">
      <sharedItems count="3">
        <s v="Estornado"/>
        <s v="Em análise"/>
        <s v="Concluíd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n v="9"/>
    <n v="152"/>
    <x v="0"/>
    <n v="2"/>
    <x v="0"/>
    <x v="0"/>
    <n v="728"/>
    <n v="0"/>
    <n v="1456"/>
    <n v="1456"/>
  </r>
  <r>
    <x v="1"/>
    <n v="62"/>
    <n v="193"/>
    <x v="1"/>
    <n v="1"/>
    <x v="0"/>
    <x v="0"/>
    <n v="201.6"/>
    <n v="0"/>
    <n v="201.6"/>
    <n v="201.6"/>
  </r>
  <r>
    <x v="2"/>
    <n v="37"/>
    <n v="115"/>
    <x v="2"/>
    <n v="1"/>
    <x v="1"/>
    <x v="1"/>
    <n v="500"/>
    <n v="0"/>
    <n v="500"/>
    <n v="500"/>
  </r>
  <r>
    <x v="3"/>
    <n v="97"/>
    <n v="172"/>
    <x v="3"/>
    <n v="1"/>
    <x v="2"/>
    <x v="1"/>
    <n v="453.6"/>
    <n v="0.05"/>
    <n v="453.6"/>
    <n v="430.92"/>
  </r>
  <r>
    <x v="4"/>
    <n v="51"/>
    <n v="161"/>
    <x v="4"/>
    <n v="1"/>
    <x v="2"/>
    <x v="0"/>
    <n v="3780"/>
    <n v="0"/>
    <n v="3780"/>
    <n v="3780"/>
  </r>
  <r>
    <x v="5"/>
    <n v="44"/>
    <n v="121"/>
    <x v="5"/>
    <n v="1"/>
    <x v="1"/>
    <x v="1"/>
    <n v="260"/>
    <n v="0"/>
    <n v="260"/>
    <n v="260"/>
  </r>
  <r>
    <x v="6"/>
    <n v="24"/>
    <n v="183"/>
    <x v="6"/>
    <n v="1"/>
    <x v="2"/>
    <x v="0"/>
    <n v="1566"/>
    <n v="0.1"/>
    <n v="1566"/>
    <n v="1409.4"/>
  </r>
  <r>
    <x v="7"/>
    <n v="79"/>
    <n v="187"/>
    <x v="7"/>
    <n v="1"/>
    <x v="1"/>
    <x v="0"/>
    <n v="75.599999999999994"/>
    <n v="0.1"/>
    <n v="75.599999999999994"/>
    <n v="68.040000000000006"/>
  </r>
  <r>
    <x v="8"/>
    <n v="59"/>
    <n v="175"/>
    <x v="8"/>
    <n v="1"/>
    <x v="2"/>
    <x v="1"/>
    <n v="540"/>
    <n v="0"/>
    <n v="540"/>
    <n v="540"/>
  </r>
  <r>
    <x v="9"/>
    <n v="32"/>
    <n v="175"/>
    <x v="9"/>
    <n v="3"/>
    <x v="1"/>
    <x v="1"/>
    <n v="540"/>
    <n v="0"/>
    <n v="1620"/>
    <n v="1620"/>
  </r>
  <r>
    <x v="10"/>
    <n v="96"/>
    <n v="188"/>
    <x v="10"/>
    <n v="1"/>
    <x v="2"/>
    <x v="1"/>
    <n v="118.8"/>
    <n v="0.05"/>
    <n v="118.8"/>
    <n v="112.86"/>
  </r>
  <r>
    <x v="11"/>
    <n v="88"/>
    <n v="200"/>
    <x v="11"/>
    <n v="2"/>
    <x v="1"/>
    <x v="2"/>
    <n v="179.2"/>
    <n v="0"/>
    <n v="358.4"/>
    <n v="358.4"/>
  </r>
  <r>
    <x v="12"/>
    <n v="52"/>
    <n v="124"/>
    <x v="12"/>
    <n v="1"/>
    <x v="0"/>
    <x v="0"/>
    <n v="1300"/>
    <n v="0"/>
    <n v="1300"/>
    <n v="1300"/>
  </r>
  <r>
    <x v="13"/>
    <n v="62"/>
    <n v="103"/>
    <x v="13"/>
    <n v="4"/>
    <x v="1"/>
    <x v="0"/>
    <n v="180"/>
    <n v="0"/>
    <n v="720"/>
    <n v="720"/>
  </r>
  <r>
    <x v="14"/>
    <n v="58"/>
    <n v="122"/>
    <x v="14"/>
    <n v="1"/>
    <x v="2"/>
    <x v="1"/>
    <n v="700"/>
    <n v="0.05"/>
    <n v="700"/>
    <n v="665"/>
  </r>
  <r>
    <x v="15"/>
    <n v="52"/>
    <n v="153"/>
    <x v="15"/>
    <n v="1"/>
    <x v="0"/>
    <x v="0"/>
    <n v="1508"/>
    <n v="0.05"/>
    <n v="1508"/>
    <n v="1432.6"/>
  </r>
  <r>
    <x v="16"/>
    <n v="12"/>
    <n v="102"/>
    <x v="16"/>
    <n v="4"/>
    <x v="1"/>
    <x v="1"/>
    <n v="1200"/>
    <n v="0"/>
    <n v="4800"/>
    <n v="4800"/>
  </r>
  <r>
    <x v="17"/>
    <n v="39"/>
    <n v="188"/>
    <x v="17"/>
    <n v="3"/>
    <x v="0"/>
    <x v="1"/>
    <n v="118.8"/>
    <n v="0"/>
    <n v="356.4"/>
    <n v="356.4"/>
  </r>
  <r>
    <x v="18"/>
    <n v="2"/>
    <n v="130"/>
    <x v="18"/>
    <n v="3"/>
    <x v="0"/>
    <x v="1"/>
    <n v="600"/>
    <n v="0"/>
    <n v="1800"/>
    <n v="1800"/>
  </r>
  <r>
    <x v="19"/>
    <n v="3"/>
    <n v="138"/>
    <x v="19"/>
    <n v="1"/>
    <x v="0"/>
    <x v="0"/>
    <n v="2288"/>
    <n v="0.05"/>
    <n v="2288"/>
    <n v="2173.6"/>
  </r>
  <r>
    <x v="20"/>
    <n v="56"/>
    <n v="102"/>
    <x v="20"/>
    <n v="1"/>
    <x v="2"/>
    <x v="0"/>
    <n v="1200"/>
    <n v="0"/>
    <n v="1200"/>
    <n v="1200"/>
  </r>
  <r>
    <x v="21"/>
    <n v="81"/>
    <n v="164"/>
    <x v="21"/>
    <n v="2"/>
    <x v="0"/>
    <x v="0"/>
    <n v="97.2"/>
    <n v="0"/>
    <n v="194.4"/>
    <n v="194.4"/>
  </r>
  <r>
    <x v="22"/>
    <n v="59"/>
    <n v="160"/>
    <x v="22"/>
    <n v="3"/>
    <x v="0"/>
    <x v="0"/>
    <n v="624"/>
    <n v="0.05"/>
    <n v="1872"/>
    <n v="1778.4"/>
  </r>
  <r>
    <x v="23"/>
    <n v="2"/>
    <n v="121"/>
    <x v="23"/>
    <n v="2"/>
    <x v="1"/>
    <x v="0"/>
    <n v="260"/>
    <n v="0"/>
    <n v="520"/>
    <n v="520"/>
  </r>
  <r>
    <x v="24"/>
    <n v="2"/>
    <n v="133"/>
    <x v="24"/>
    <n v="2"/>
    <x v="2"/>
    <x v="0"/>
    <n v="187.2"/>
    <n v="0.05"/>
    <n v="374.4"/>
    <n v="355.68"/>
  </r>
  <r>
    <x v="25"/>
    <n v="92"/>
    <n v="176"/>
    <x v="25"/>
    <n v="1"/>
    <x v="2"/>
    <x v="0"/>
    <n v="378"/>
    <n v="0"/>
    <n v="378"/>
    <n v="378"/>
  </r>
  <r>
    <x v="26"/>
    <n v="54"/>
    <n v="158"/>
    <x v="26"/>
    <n v="2"/>
    <x v="1"/>
    <x v="0"/>
    <n v="114.4"/>
    <n v="0"/>
    <n v="228.8"/>
    <n v="228.8"/>
  </r>
  <r>
    <x v="27"/>
    <n v="87"/>
    <n v="122"/>
    <x v="27"/>
    <n v="1"/>
    <x v="1"/>
    <x v="0"/>
    <n v="700"/>
    <n v="0"/>
    <n v="700"/>
    <n v="700"/>
  </r>
  <r>
    <x v="28"/>
    <n v="96"/>
    <n v="189"/>
    <x v="28"/>
    <n v="1"/>
    <x v="2"/>
    <x v="0"/>
    <n v="702"/>
    <n v="0.05"/>
    <n v="702"/>
    <n v="666.9"/>
  </r>
  <r>
    <x v="29"/>
    <n v="97"/>
    <n v="149"/>
    <x v="29"/>
    <n v="1"/>
    <x v="0"/>
    <x v="0"/>
    <n v="312"/>
    <n v="0.1"/>
    <n v="312"/>
    <n v="280.8"/>
  </r>
  <r>
    <x v="30"/>
    <n v="1"/>
    <n v="191"/>
    <x v="30"/>
    <n v="2"/>
    <x v="2"/>
    <x v="1"/>
    <n v="3920"/>
    <n v="0.1"/>
    <n v="7840"/>
    <n v="7056"/>
  </r>
  <r>
    <x v="31"/>
    <n v="19"/>
    <n v="159"/>
    <x v="31"/>
    <n v="1"/>
    <x v="2"/>
    <x v="0"/>
    <n v="676"/>
    <n v="0"/>
    <n v="676"/>
    <n v="676"/>
  </r>
  <r>
    <x v="32"/>
    <n v="2"/>
    <n v="142"/>
    <x v="32"/>
    <n v="1"/>
    <x v="2"/>
    <x v="0"/>
    <n v="436.8"/>
    <n v="0.05"/>
    <n v="436.8"/>
    <n v="414.96"/>
  </r>
  <r>
    <x v="33"/>
    <n v="53"/>
    <n v="192"/>
    <x v="33"/>
    <n v="2"/>
    <x v="2"/>
    <x v="0"/>
    <n v="1344"/>
    <n v="0"/>
    <n v="2688"/>
    <n v="2688"/>
  </r>
  <r>
    <x v="34"/>
    <n v="44"/>
    <n v="160"/>
    <x v="34"/>
    <n v="1"/>
    <x v="0"/>
    <x v="1"/>
    <n v="624"/>
    <n v="0"/>
    <n v="624"/>
    <n v="624"/>
  </r>
  <r>
    <x v="35"/>
    <n v="90"/>
    <n v="180"/>
    <x v="35"/>
    <n v="2"/>
    <x v="2"/>
    <x v="0"/>
    <n v="302.39999999999998"/>
    <n v="0.1"/>
    <n v="604.79999999999995"/>
    <n v="544.32000000000005"/>
  </r>
  <r>
    <x v="36"/>
    <n v="32"/>
    <n v="115"/>
    <x v="36"/>
    <n v="1"/>
    <x v="1"/>
    <x v="0"/>
    <n v="500"/>
    <n v="0"/>
    <n v="500"/>
    <n v="500"/>
  </r>
  <r>
    <x v="37"/>
    <n v="70"/>
    <n v="162"/>
    <x v="37"/>
    <n v="1"/>
    <x v="1"/>
    <x v="0"/>
    <n v="1296"/>
    <n v="0"/>
    <n v="1296"/>
    <n v="1296"/>
  </r>
  <r>
    <x v="38"/>
    <n v="32"/>
    <n v="162"/>
    <x v="38"/>
    <n v="2"/>
    <x v="0"/>
    <x v="0"/>
    <n v="1296"/>
    <n v="0"/>
    <n v="2592"/>
    <n v="2592"/>
  </r>
  <r>
    <x v="39"/>
    <n v="68"/>
    <n v="147"/>
    <x v="39"/>
    <n v="1"/>
    <x v="0"/>
    <x v="0"/>
    <n v="83.2"/>
    <n v="0"/>
    <n v="83.2"/>
    <n v="83.2"/>
  </r>
  <r>
    <x v="40"/>
    <n v="55"/>
    <n v="162"/>
    <x v="40"/>
    <n v="1"/>
    <x v="2"/>
    <x v="0"/>
    <n v="1296"/>
    <n v="0"/>
    <n v="1296"/>
    <n v="1296"/>
  </r>
  <r>
    <x v="41"/>
    <n v="75"/>
    <n v="151"/>
    <x v="41"/>
    <n v="1"/>
    <x v="1"/>
    <x v="0"/>
    <n v="270.39999999999998"/>
    <n v="0.05"/>
    <n v="270.39999999999998"/>
    <n v="256.88"/>
  </r>
  <r>
    <x v="42"/>
    <n v="56"/>
    <n v="155"/>
    <x v="42"/>
    <n v="1"/>
    <x v="0"/>
    <x v="1"/>
    <n v="187.2"/>
    <n v="0"/>
    <n v="187.2"/>
    <n v="187.2"/>
  </r>
  <r>
    <x v="43"/>
    <n v="17"/>
    <n v="164"/>
    <x v="43"/>
    <n v="4"/>
    <x v="2"/>
    <x v="2"/>
    <n v="97.2"/>
    <n v="0.1"/>
    <n v="388.8"/>
    <n v="349.92"/>
  </r>
  <r>
    <x v="44"/>
    <n v="38"/>
    <n v="103"/>
    <x v="44"/>
    <n v="1"/>
    <x v="1"/>
    <x v="0"/>
    <n v="180"/>
    <n v="0.1"/>
    <n v="180"/>
    <n v="162"/>
  </r>
  <r>
    <x v="45"/>
    <n v="24"/>
    <n v="151"/>
    <x v="45"/>
    <n v="3"/>
    <x v="1"/>
    <x v="0"/>
    <n v="270.39999999999998"/>
    <n v="0"/>
    <n v="811.2"/>
    <n v="811.2"/>
  </r>
  <r>
    <x v="46"/>
    <n v="69"/>
    <n v="107"/>
    <x v="46"/>
    <n v="1"/>
    <x v="1"/>
    <x v="1"/>
    <n v="250"/>
    <n v="0"/>
    <n v="250"/>
    <n v="250"/>
  </r>
  <r>
    <x v="47"/>
    <n v="98"/>
    <n v="121"/>
    <x v="47"/>
    <n v="2"/>
    <x v="0"/>
    <x v="0"/>
    <n v="260"/>
    <n v="0"/>
    <n v="520"/>
    <n v="520"/>
  </r>
  <r>
    <x v="48"/>
    <n v="70"/>
    <n v="173"/>
    <x v="48"/>
    <n v="2"/>
    <x v="0"/>
    <x v="0"/>
    <n v="1944"/>
    <n v="0.05"/>
    <n v="3888"/>
    <n v="3693.6"/>
  </r>
  <r>
    <x v="49"/>
    <n v="86"/>
    <n v="139"/>
    <x v="49"/>
    <n v="2"/>
    <x v="2"/>
    <x v="0"/>
    <n v="988"/>
    <n v="0"/>
    <n v="1976"/>
    <n v="1976"/>
  </r>
  <r>
    <x v="50"/>
    <n v="11"/>
    <n v="118"/>
    <x v="50"/>
    <n v="1"/>
    <x v="1"/>
    <x v="0"/>
    <n v="140"/>
    <n v="0.05"/>
    <n v="140"/>
    <n v="133"/>
  </r>
  <r>
    <x v="51"/>
    <n v="16"/>
    <n v="104"/>
    <x v="51"/>
    <n v="1"/>
    <x v="1"/>
    <x v="2"/>
    <n v="90"/>
    <n v="0"/>
    <n v="90"/>
    <n v="90"/>
  </r>
  <r>
    <x v="52"/>
    <n v="97"/>
    <n v="189"/>
    <x v="52"/>
    <n v="1"/>
    <x v="2"/>
    <x v="1"/>
    <n v="702"/>
    <n v="0.05"/>
    <n v="702"/>
    <n v="666.9"/>
  </r>
  <r>
    <x v="53"/>
    <n v="73"/>
    <n v="160"/>
    <x v="53"/>
    <n v="3"/>
    <x v="2"/>
    <x v="0"/>
    <n v="624"/>
    <n v="0"/>
    <n v="1872"/>
    <n v="1872"/>
  </r>
  <r>
    <x v="54"/>
    <n v="59"/>
    <n v="114"/>
    <x v="54"/>
    <n v="3"/>
    <x v="2"/>
    <x v="0"/>
    <n v="450"/>
    <n v="0"/>
    <n v="1350"/>
    <n v="1350"/>
  </r>
  <r>
    <x v="55"/>
    <n v="70"/>
    <n v="109"/>
    <x v="55"/>
    <n v="4"/>
    <x v="1"/>
    <x v="0"/>
    <n v="950"/>
    <n v="0.1"/>
    <n v="3800"/>
    <n v="3420"/>
  </r>
  <r>
    <x v="56"/>
    <n v="80"/>
    <n v="190"/>
    <x v="56"/>
    <n v="1"/>
    <x v="1"/>
    <x v="0"/>
    <n v="648"/>
    <n v="0.05"/>
    <n v="648"/>
    <n v="615.6"/>
  </r>
  <r>
    <x v="57"/>
    <n v="93"/>
    <n v="153"/>
    <x v="57"/>
    <n v="2"/>
    <x v="2"/>
    <x v="0"/>
    <n v="1508"/>
    <n v="0"/>
    <n v="3016"/>
    <n v="3016"/>
  </r>
  <r>
    <x v="58"/>
    <n v="3"/>
    <n v="102"/>
    <x v="58"/>
    <n v="3"/>
    <x v="0"/>
    <x v="0"/>
    <n v="1200"/>
    <n v="0.1"/>
    <n v="3600"/>
    <n v="3240"/>
  </r>
  <r>
    <x v="59"/>
    <n v="20"/>
    <n v="184"/>
    <x v="59"/>
    <n v="1"/>
    <x v="2"/>
    <x v="1"/>
    <n v="1404"/>
    <n v="0"/>
    <n v="1404"/>
    <n v="1404"/>
  </r>
  <r>
    <x v="60"/>
    <n v="59"/>
    <n v="192"/>
    <x v="60"/>
    <n v="1"/>
    <x v="1"/>
    <x v="0"/>
    <n v="1344"/>
    <n v="0.1"/>
    <n v="1344"/>
    <n v="1209.5999999999999"/>
  </r>
  <r>
    <x v="61"/>
    <n v="36"/>
    <n v="160"/>
    <x v="61"/>
    <n v="2"/>
    <x v="1"/>
    <x v="0"/>
    <n v="624"/>
    <n v="0.05"/>
    <n v="1248"/>
    <n v="1185.5999999999999"/>
  </r>
  <r>
    <x v="62"/>
    <n v="19"/>
    <n v="171"/>
    <x v="62"/>
    <n v="2"/>
    <x v="1"/>
    <x v="2"/>
    <n v="345.6"/>
    <n v="0"/>
    <n v="691.2"/>
    <n v="691.2"/>
  </r>
  <r>
    <x v="63"/>
    <n v="90"/>
    <n v="144"/>
    <x v="63"/>
    <n v="3"/>
    <x v="2"/>
    <x v="1"/>
    <n v="468"/>
    <n v="0"/>
    <n v="1404"/>
    <n v="1404"/>
  </r>
  <r>
    <x v="64"/>
    <n v="67"/>
    <n v="108"/>
    <x v="64"/>
    <n v="1"/>
    <x v="2"/>
    <x v="0"/>
    <n v="2200"/>
    <n v="0"/>
    <n v="2200"/>
    <n v="2200"/>
  </r>
  <r>
    <x v="65"/>
    <n v="19"/>
    <n v="147"/>
    <x v="65"/>
    <n v="2"/>
    <x v="2"/>
    <x v="0"/>
    <n v="83.2"/>
    <n v="0"/>
    <n v="166.4"/>
    <n v="166.4"/>
  </r>
  <r>
    <x v="66"/>
    <n v="20"/>
    <n v="135"/>
    <x v="66"/>
    <n v="1"/>
    <x v="2"/>
    <x v="0"/>
    <n v="884"/>
    <n v="0.05"/>
    <n v="884"/>
    <n v="839.8"/>
  </r>
  <r>
    <x v="67"/>
    <n v="96"/>
    <n v="178"/>
    <x v="67"/>
    <n v="1"/>
    <x v="1"/>
    <x v="0"/>
    <n v="151.19999999999999"/>
    <n v="0"/>
    <n v="151.19999999999999"/>
    <n v="151.19999999999999"/>
  </r>
  <r>
    <x v="68"/>
    <n v="71"/>
    <n v="181"/>
    <x v="68"/>
    <n v="1"/>
    <x v="1"/>
    <x v="0"/>
    <n v="280.8"/>
    <n v="0"/>
    <n v="280.8"/>
    <n v="280.8"/>
  </r>
  <r>
    <x v="69"/>
    <n v="52"/>
    <n v="136"/>
    <x v="69"/>
    <n v="3"/>
    <x v="1"/>
    <x v="1"/>
    <n v="1144"/>
    <n v="0.1"/>
    <n v="3432"/>
    <n v="3088.8"/>
  </r>
  <r>
    <x v="70"/>
    <n v="33"/>
    <n v="150"/>
    <x v="70"/>
    <n v="2"/>
    <x v="1"/>
    <x v="0"/>
    <n v="291.2"/>
    <n v="0.15"/>
    <n v="582.4"/>
    <n v="495.04"/>
  </r>
  <r>
    <x v="71"/>
    <n v="40"/>
    <n v="104"/>
    <x v="71"/>
    <n v="2"/>
    <x v="0"/>
    <x v="0"/>
    <n v="90"/>
    <n v="0"/>
    <n v="180"/>
    <n v="180"/>
  </r>
  <r>
    <x v="72"/>
    <n v="39"/>
    <n v="102"/>
    <x v="72"/>
    <n v="1"/>
    <x v="0"/>
    <x v="0"/>
    <n v="1200"/>
    <n v="0"/>
    <n v="1200"/>
    <n v="1200"/>
  </r>
  <r>
    <x v="73"/>
    <n v="82"/>
    <n v="106"/>
    <x v="73"/>
    <n v="3"/>
    <x v="1"/>
    <x v="0"/>
    <n v="1100"/>
    <n v="0"/>
    <n v="3300"/>
    <n v="3300"/>
  </r>
  <r>
    <x v="74"/>
    <n v="1"/>
    <n v="154"/>
    <x v="74"/>
    <n v="1"/>
    <x v="1"/>
    <x v="1"/>
    <n v="1352"/>
    <n v="0"/>
    <n v="1352"/>
    <n v="1352"/>
  </r>
  <r>
    <x v="75"/>
    <n v="11"/>
    <n v="104"/>
    <x v="75"/>
    <n v="3"/>
    <x v="2"/>
    <x v="1"/>
    <n v="90"/>
    <n v="0.1"/>
    <n v="270"/>
    <n v="243"/>
  </r>
  <r>
    <x v="76"/>
    <n v="92"/>
    <n v="154"/>
    <x v="76"/>
    <n v="1"/>
    <x v="2"/>
    <x v="0"/>
    <n v="1352"/>
    <n v="0"/>
    <n v="1352"/>
    <n v="1352"/>
  </r>
  <r>
    <x v="77"/>
    <n v="57"/>
    <n v="193"/>
    <x v="77"/>
    <n v="1"/>
    <x v="2"/>
    <x v="0"/>
    <n v="201.6"/>
    <n v="0.05"/>
    <n v="201.6"/>
    <n v="191.52"/>
  </r>
  <r>
    <x v="78"/>
    <n v="89"/>
    <n v="163"/>
    <x v="78"/>
    <n v="1"/>
    <x v="1"/>
    <x v="0"/>
    <n v="194.4"/>
    <n v="0"/>
    <n v="194.4"/>
    <n v="194.4"/>
  </r>
  <r>
    <x v="79"/>
    <n v="50"/>
    <n v="118"/>
    <x v="79"/>
    <n v="1"/>
    <x v="0"/>
    <x v="0"/>
    <n v="140"/>
    <n v="0.05"/>
    <n v="140"/>
    <n v="133"/>
  </r>
  <r>
    <x v="80"/>
    <n v="23"/>
    <n v="190"/>
    <x v="80"/>
    <n v="2"/>
    <x v="2"/>
    <x v="0"/>
    <n v="648"/>
    <n v="0.05"/>
    <n v="1296"/>
    <n v="1231.2"/>
  </r>
  <r>
    <x v="81"/>
    <n v="31"/>
    <n v="144"/>
    <x v="81"/>
    <n v="2"/>
    <x v="0"/>
    <x v="0"/>
    <n v="468"/>
    <n v="0.1"/>
    <n v="936"/>
    <n v="842.4"/>
  </r>
  <r>
    <x v="82"/>
    <n v="94"/>
    <n v="134"/>
    <x v="82"/>
    <n v="1"/>
    <x v="0"/>
    <x v="0"/>
    <n v="93.6"/>
    <n v="0"/>
    <n v="93.6"/>
    <n v="93.6"/>
  </r>
  <r>
    <x v="83"/>
    <n v="42"/>
    <n v="174"/>
    <x v="83"/>
    <n v="3"/>
    <x v="2"/>
    <x v="0"/>
    <n v="486"/>
    <n v="0"/>
    <n v="1458"/>
    <n v="1458"/>
  </r>
  <r>
    <x v="84"/>
    <n v="99"/>
    <n v="162"/>
    <x v="84"/>
    <n v="1"/>
    <x v="2"/>
    <x v="0"/>
    <n v="1296"/>
    <n v="0"/>
    <n v="1296"/>
    <n v="1296"/>
  </r>
  <r>
    <x v="85"/>
    <n v="7"/>
    <n v="200"/>
    <x v="85"/>
    <n v="2"/>
    <x v="0"/>
    <x v="0"/>
    <n v="179.2"/>
    <n v="0.1"/>
    <n v="358.4"/>
    <n v="322.56"/>
  </r>
  <r>
    <x v="86"/>
    <n v="16"/>
    <n v="114"/>
    <x v="86"/>
    <n v="3"/>
    <x v="0"/>
    <x v="0"/>
    <n v="450"/>
    <n v="0.1"/>
    <n v="1350"/>
    <n v="1215"/>
  </r>
  <r>
    <x v="87"/>
    <n v="90"/>
    <n v="195"/>
    <x v="87"/>
    <n v="2"/>
    <x v="0"/>
    <x v="0"/>
    <n v="952"/>
    <n v="0.05"/>
    <n v="1904"/>
    <n v="1808.8"/>
  </r>
  <r>
    <x v="88"/>
    <n v="60"/>
    <n v="148"/>
    <x v="88"/>
    <n v="1"/>
    <x v="0"/>
    <x v="0"/>
    <n v="145.6"/>
    <n v="0.05"/>
    <n v="145.6"/>
    <n v="138.32"/>
  </r>
  <r>
    <x v="89"/>
    <n v="2"/>
    <n v="115"/>
    <x v="89"/>
    <n v="3"/>
    <x v="1"/>
    <x v="1"/>
    <n v="500"/>
    <n v="0.05"/>
    <n v="1500"/>
    <n v="1425"/>
  </r>
  <r>
    <x v="90"/>
    <n v="1"/>
    <n v="172"/>
    <x v="90"/>
    <n v="2"/>
    <x v="0"/>
    <x v="0"/>
    <n v="453.6"/>
    <n v="0"/>
    <n v="907.2"/>
    <n v="907.2"/>
  </r>
  <r>
    <x v="91"/>
    <n v="48"/>
    <n v="178"/>
    <x v="91"/>
    <n v="1"/>
    <x v="0"/>
    <x v="0"/>
    <n v="151.19999999999999"/>
    <n v="0.1"/>
    <n v="151.19999999999999"/>
    <n v="136.08000000000001"/>
  </r>
  <r>
    <x v="92"/>
    <n v="12"/>
    <n v="187"/>
    <x v="92"/>
    <n v="1"/>
    <x v="1"/>
    <x v="0"/>
    <n v="75.599999999999994"/>
    <n v="0"/>
    <n v="75.599999999999994"/>
    <n v="75.599999999999994"/>
  </r>
  <r>
    <x v="93"/>
    <n v="69"/>
    <n v="162"/>
    <x v="93"/>
    <n v="2"/>
    <x v="2"/>
    <x v="0"/>
    <n v="1296"/>
    <n v="0"/>
    <n v="2592"/>
    <n v="2592"/>
  </r>
  <r>
    <x v="94"/>
    <n v="37"/>
    <n v="140"/>
    <x v="94"/>
    <n v="2"/>
    <x v="2"/>
    <x v="0"/>
    <n v="166.4"/>
    <n v="0"/>
    <n v="332.8"/>
    <n v="332.8"/>
  </r>
  <r>
    <x v="95"/>
    <n v="32"/>
    <n v="185"/>
    <x v="95"/>
    <n v="2"/>
    <x v="2"/>
    <x v="0"/>
    <n v="194.4"/>
    <n v="0"/>
    <n v="388.8"/>
    <n v="388.8"/>
  </r>
  <r>
    <x v="96"/>
    <n v="9"/>
    <n v="180"/>
    <x v="96"/>
    <n v="3"/>
    <x v="0"/>
    <x v="2"/>
    <n v="302.39999999999998"/>
    <n v="0"/>
    <n v="907.2"/>
    <n v="907.2"/>
  </r>
  <r>
    <x v="97"/>
    <n v="99"/>
    <n v="182"/>
    <x v="97"/>
    <n v="2"/>
    <x v="0"/>
    <x v="0"/>
    <n v="756"/>
    <n v="0.05"/>
    <n v="1512"/>
    <n v="1436.4"/>
  </r>
  <r>
    <x v="98"/>
    <n v="19"/>
    <n v="153"/>
    <x v="98"/>
    <n v="1"/>
    <x v="0"/>
    <x v="0"/>
    <n v="1508"/>
    <n v="0"/>
    <n v="1508"/>
    <n v="1508"/>
  </r>
  <r>
    <x v="99"/>
    <n v="48"/>
    <n v="124"/>
    <x v="99"/>
    <n v="1"/>
    <x v="2"/>
    <x v="0"/>
    <n v="1300"/>
    <n v="0.05"/>
    <n v="1300"/>
    <n v="1235"/>
  </r>
  <r>
    <x v="100"/>
    <n v="80"/>
    <n v="126"/>
    <x v="100"/>
    <n v="1"/>
    <x v="2"/>
    <x v="0"/>
    <n v="120"/>
    <n v="0"/>
    <n v="120"/>
    <n v="120"/>
  </r>
  <r>
    <x v="101"/>
    <n v="3"/>
    <n v="189"/>
    <x v="101"/>
    <n v="2"/>
    <x v="2"/>
    <x v="0"/>
    <n v="702"/>
    <n v="0"/>
    <n v="1404"/>
    <n v="1404"/>
  </r>
  <r>
    <x v="102"/>
    <n v="20"/>
    <n v="160"/>
    <x v="102"/>
    <n v="1"/>
    <x v="2"/>
    <x v="2"/>
    <n v="624"/>
    <n v="0"/>
    <n v="624"/>
    <n v="624"/>
  </r>
  <r>
    <x v="103"/>
    <n v="24"/>
    <n v="141"/>
    <x v="103"/>
    <n v="2"/>
    <x v="0"/>
    <x v="0"/>
    <n v="332.8"/>
    <n v="0"/>
    <n v="665.6"/>
    <n v="665.6"/>
  </r>
  <r>
    <x v="104"/>
    <n v="54"/>
    <n v="129"/>
    <x v="104"/>
    <n v="2"/>
    <x v="2"/>
    <x v="2"/>
    <n v="650"/>
    <n v="0.05"/>
    <n v="1300"/>
    <n v="1235"/>
  </r>
  <r>
    <x v="105"/>
    <n v="33"/>
    <n v="115"/>
    <x v="105"/>
    <n v="3"/>
    <x v="2"/>
    <x v="2"/>
    <n v="500"/>
    <n v="0"/>
    <n v="1500"/>
    <n v="1500"/>
  </r>
  <r>
    <x v="106"/>
    <n v="24"/>
    <n v="145"/>
    <x v="106"/>
    <n v="1"/>
    <x v="1"/>
    <x v="0"/>
    <n v="520"/>
    <n v="0.05"/>
    <n v="520"/>
    <n v="494"/>
  </r>
  <r>
    <x v="107"/>
    <n v="75"/>
    <n v="165"/>
    <x v="107"/>
    <n v="3"/>
    <x v="2"/>
    <x v="0"/>
    <n v="918"/>
    <n v="0"/>
    <n v="2754"/>
    <n v="2754"/>
  </r>
  <r>
    <x v="108"/>
    <n v="72"/>
    <n v="189"/>
    <x v="108"/>
    <n v="1"/>
    <x v="0"/>
    <x v="0"/>
    <n v="702"/>
    <n v="0.05"/>
    <n v="702"/>
    <n v="666.9"/>
  </r>
  <r>
    <x v="109"/>
    <n v="36"/>
    <n v="171"/>
    <x v="109"/>
    <n v="3"/>
    <x v="0"/>
    <x v="0"/>
    <n v="345.6"/>
    <n v="0.1"/>
    <n v="1036.8"/>
    <n v="933.12"/>
  </r>
  <r>
    <x v="110"/>
    <n v="38"/>
    <n v="109"/>
    <x v="110"/>
    <n v="1"/>
    <x v="2"/>
    <x v="0"/>
    <n v="950"/>
    <n v="0.05"/>
    <n v="950"/>
    <n v="902.5"/>
  </r>
  <r>
    <x v="111"/>
    <n v="84"/>
    <n v="188"/>
    <x v="111"/>
    <n v="1"/>
    <x v="0"/>
    <x v="0"/>
    <n v="118.8"/>
    <n v="0"/>
    <n v="118.8"/>
    <n v="118.8"/>
  </r>
  <r>
    <x v="112"/>
    <n v="99"/>
    <n v="101"/>
    <x v="112"/>
    <n v="2"/>
    <x v="1"/>
    <x v="0"/>
    <n v="3500"/>
    <n v="0"/>
    <n v="7000"/>
    <n v="7000"/>
  </r>
  <r>
    <x v="113"/>
    <n v="89"/>
    <n v="108"/>
    <x v="113"/>
    <n v="1"/>
    <x v="1"/>
    <x v="0"/>
    <n v="2200"/>
    <n v="0"/>
    <n v="2200"/>
    <n v="2200"/>
  </r>
  <r>
    <x v="114"/>
    <n v="99"/>
    <n v="188"/>
    <x v="114"/>
    <n v="1"/>
    <x v="2"/>
    <x v="1"/>
    <n v="118.8"/>
    <n v="0.05"/>
    <n v="118.8"/>
    <n v="112.86"/>
  </r>
  <r>
    <x v="115"/>
    <n v="25"/>
    <n v="163"/>
    <x v="115"/>
    <n v="2"/>
    <x v="1"/>
    <x v="0"/>
    <n v="194.4"/>
    <n v="0"/>
    <n v="388.8"/>
    <n v="388.8"/>
  </r>
  <r>
    <x v="116"/>
    <n v="93"/>
    <n v="111"/>
    <x v="116"/>
    <n v="2"/>
    <x v="2"/>
    <x v="1"/>
    <n v="320"/>
    <n v="0"/>
    <n v="640"/>
    <n v="640"/>
  </r>
  <r>
    <x v="117"/>
    <n v="18"/>
    <n v="181"/>
    <x v="117"/>
    <n v="2"/>
    <x v="2"/>
    <x v="0"/>
    <n v="280.8"/>
    <n v="0.05"/>
    <n v="561.6"/>
    <n v="533.52"/>
  </r>
  <r>
    <x v="118"/>
    <n v="82"/>
    <n v="108"/>
    <x v="118"/>
    <n v="2"/>
    <x v="2"/>
    <x v="0"/>
    <n v="2200"/>
    <n v="0"/>
    <n v="4400"/>
    <n v="4400"/>
  </r>
  <r>
    <x v="119"/>
    <n v="66"/>
    <n v="135"/>
    <x v="119"/>
    <n v="2"/>
    <x v="1"/>
    <x v="0"/>
    <n v="884"/>
    <n v="0.05"/>
    <n v="1768"/>
    <n v="1679.6"/>
  </r>
  <r>
    <x v="120"/>
    <n v="54"/>
    <n v="135"/>
    <x v="120"/>
    <n v="1"/>
    <x v="2"/>
    <x v="0"/>
    <n v="884"/>
    <n v="0"/>
    <n v="884"/>
    <n v="884"/>
  </r>
  <r>
    <x v="121"/>
    <n v="35"/>
    <n v="133"/>
    <x v="121"/>
    <n v="1"/>
    <x v="2"/>
    <x v="1"/>
    <n v="187.2"/>
    <n v="0"/>
    <n v="187.2"/>
    <n v="187.2"/>
  </r>
  <r>
    <x v="122"/>
    <n v="80"/>
    <n v="105"/>
    <x v="122"/>
    <n v="1"/>
    <x v="0"/>
    <x v="1"/>
    <n v="850"/>
    <n v="0.05"/>
    <n v="850"/>
    <n v="807.5"/>
  </r>
  <r>
    <x v="123"/>
    <n v="61"/>
    <n v="141"/>
    <x v="123"/>
    <n v="3"/>
    <x v="2"/>
    <x v="1"/>
    <n v="332.8"/>
    <n v="0"/>
    <n v="998.4"/>
    <n v="998.4"/>
  </r>
  <r>
    <x v="124"/>
    <n v="41"/>
    <n v="128"/>
    <x v="124"/>
    <n v="2"/>
    <x v="2"/>
    <x v="0"/>
    <n v="110"/>
    <n v="0.05"/>
    <n v="220"/>
    <n v="209"/>
  </r>
  <r>
    <x v="125"/>
    <n v="100"/>
    <n v="107"/>
    <x v="125"/>
    <n v="1"/>
    <x v="2"/>
    <x v="0"/>
    <n v="250"/>
    <n v="0"/>
    <n v="250"/>
    <n v="250"/>
  </r>
  <r>
    <x v="126"/>
    <n v="33"/>
    <n v="173"/>
    <x v="126"/>
    <n v="1"/>
    <x v="2"/>
    <x v="1"/>
    <n v="1944"/>
    <n v="0"/>
    <n v="1944"/>
    <n v="1944"/>
  </r>
  <r>
    <x v="127"/>
    <n v="68"/>
    <n v="172"/>
    <x v="127"/>
    <n v="3"/>
    <x v="2"/>
    <x v="1"/>
    <n v="453.6"/>
    <n v="0.1"/>
    <n v="1360.8"/>
    <n v="1224.72"/>
  </r>
  <r>
    <x v="128"/>
    <n v="33"/>
    <n v="112"/>
    <x v="128"/>
    <n v="1"/>
    <x v="2"/>
    <x v="2"/>
    <n v="420"/>
    <n v="0.05"/>
    <n v="420"/>
    <n v="399"/>
  </r>
  <r>
    <x v="129"/>
    <n v="14"/>
    <n v="134"/>
    <x v="129"/>
    <n v="2"/>
    <x v="0"/>
    <x v="0"/>
    <n v="93.6"/>
    <n v="0.05"/>
    <n v="187.2"/>
    <n v="177.84"/>
  </r>
  <r>
    <x v="130"/>
    <n v="21"/>
    <n v="133"/>
    <x v="130"/>
    <n v="2"/>
    <x v="2"/>
    <x v="0"/>
    <n v="187.2"/>
    <n v="0"/>
    <n v="374.4"/>
    <n v="374.4"/>
  </r>
  <r>
    <x v="131"/>
    <n v="48"/>
    <n v="148"/>
    <x v="131"/>
    <n v="2"/>
    <x v="2"/>
    <x v="1"/>
    <n v="145.6"/>
    <n v="0.05"/>
    <n v="291.2"/>
    <n v="276.64"/>
  </r>
  <r>
    <x v="132"/>
    <n v="20"/>
    <n v="123"/>
    <x v="132"/>
    <n v="1"/>
    <x v="1"/>
    <x v="0"/>
    <n v="1450"/>
    <n v="0"/>
    <n v="1450"/>
    <n v="1450"/>
  </r>
  <r>
    <x v="133"/>
    <n v="8"/>
    <n v="162"/>
    <x v="133"/>
    <n v="3"/>
    <x v="2"/>
    <x v="2"/>
    <n v="1296"/>
    <n v="0"/>
    <n v="3888"/>
    <n v="3888"/>
  </r>
  <r>
    <x v="134"/>
    <n v="7"/>
    <n v="188"/>
    <x v="134"/>
    <n v="3"/>
    <x v="0"/>
    <x v="1"/>
    <n v="118.8"/>
    <n v="0.1"/>
    <n v="356.4"/>
    <n v="320.76"/>
  </r>
  <r>
    <x v="135"/>
    <n v="67"/>
    <n v="137"/>
    <x v="135"/>
    <n v="2"/>
    <x v="2"/>
    <x v="0"/>
    <n v="260"/>
    <n v="0"/>
    <n v="520"/>
    <n v="520"/>
  </r>
  <r>
    <x v="136"/>
    <n v="17"/>
    <n v="199"/>
    <x v="136"/>
    <n v="2"/>
    <x v="2"/>
    <x v="1"/>
    <n v="1064"/>
    <n v="0.15"/>
    <n v="2128"/>
    <n v="1808.8"/>
  </r>
  <r>
    <x v="137"/>
    <n v="33"/>
    <n v="144"/>
    <x v="137"/>
    <n v="3"/>
    <x v="2"/>
    <x v="1"/>
    <n v="468"/>
    <n v="0"/>
    <n v="1404"/>
    <n v="1404"/>
  </r>
  <r>
    <x v="138"/>
    <n v="48"/>
    <n v="186"/>
    <x v="138"/>
    <n v="2"/>
    <x v="2"/>
    <x v="0"/>
    <n v="129.6"/>
    <n v="0"/>
    <n v="259.2"/>
    <n v="259.2"/>
  </r>
  <r>
    <x v="139"/>
    <n v="76"/>
    <n v="191"/>
    <x v="139"/>
    <n v="1"/>
    <x v="2"/>
    <x v="2"/>
    <n v="3920"/>
    <n v="0"/>
    <n v="3920"/>
    <n v="3920"/>
  </r>
  <r>
    <x v="140"/>
    <n v="59"/>
    <n v="135"/>
    <x v="140"/>
    <n v="2"/>
    <x v="2"/>
    <x v="0"/>
    <n v="884"/>
    <n v="0.1"/>
    <n v="1768"/>
    <n v="1591.2"/>
  </r>
  <r>
    <x v="141"/>
    <n v="86"/>
    <n v="165"/>
    <x v="141"/>
    <n v="2"/>
    <x v="2"/>
    <x v="1"/>
    <n v="918"/>
    <n v="0.05"/>
    <n v="1836"/>
    <n v="1744.2"/>
  </r>
  <r>
    <x v="142"/>
    <n v="22"/>
    <n v="199"/>
    <x v="142"/>
    <n v="1"/>
    <x v="2"/>
    <x v="0"/>
    <n v="1064"/>
    <n v="0.1"/>
    <n v="1064"/>
    <n v="957.6"/>
  </r>
  <r>
    <x v="143"/>
    <n v="30"/>
    <n v="147"/>
    <x v="143"/>
    <n v="2"/>
    <x v="2"/>
    <x v="1"/>
    <n v="83.2"/>
    <n v="0.05"/>
    <n v="166.4"/>
    <n v="158.08000000000001"/>
  </r>
  <r>
    <x v="144"/>
    <n v="38"/>
    <n v="178"/>
    <x v="144"/>
    <n v="3"/>
    <x v="2"/>
    <x v="0"/>
    <n v="151.19999999999999"/>
    <n v="0.05"/>
    <n v="453.6"/>
    <n v="430.92"/>
  </r>
  <r>
    <x v="145"/>
    <n v="51"/>
    <n v="103"/>
    <x v="145"/>
    <n v="3"/>
    <x v="2"/>
    <x v="0"/>
    <n v="180"/>
    <n v="0.1"/>
    <n v="540"/>
    <n v="486"/>
  </r>
  <r>
    <x v="146"/>
    <n v="54"/>
    <n v="101"/>
    <x v="146"/>
    <n v="1"/>
    <x v="0"/>
    <x v="2"/>
    <n v="3500"/>
    <n v="0"/>
    <n v="3500"/>
    <n v="3500"/>
  </r>
  <r>
    <x v="147"/>
    <n v="8"/>
    <n v="105"/>
    <x v="147"/>
    <n v="1"/>
    <x v="0"/>
    <x v="0"/>
    <n v="850"/>
    <n v="0"/>
    <n v="850"/>
    <n v="850"/>
  </r>
  <r>
    <x v="148"/>
    <n v="27"/>
    <n v="190"/>
    <x v="148"/>
    <n v="4"/>
    <x v="2"/>
    <x v="0"/>
    <n v="648"/>
    <n v="0"/>
    <n v="2592"/>
    <n v="2592"/>
  </r>
  <r>
    <x v="149"/>
    <n v="27"/>
    <n v="114"/>
    <x v="149"/>
    <n v="3"/>
    <x v="0"/>
    <x v="2"/>
    <n v="450"/>
    <n v="0.15"/>
    <n v="1350"/>
    <n v="1147.5"/>
  </r>
  <r>
    <x v="150"/>
    <n v="98"/>
    <n v="127"/>
    <x v="150"/>
    <n v="1"/>
    <x v="0"/>
    <x v="2"/>
    <n v="70"/>
    <n v="0.1"/>
    <n v="70"/>
    <n v="63"/>
  </r>
  <r>
    <x v="151"/>
    <n v="21"/>
    <n v="109"/>
    <x v="151"/>
    <n v="3"/>
    <x v="2"/>
    <x v="0"/>
    <n v="950"/>
    <n v="0"/>
    <n v="2850"/>
    <n v="2850"/>
  </r>
  <r>
    <x v="152"/>
    <n v="30"/>
    <n v="179"/>
    <x v="152"/>
    <n v="3"/>
    <x v="1"/>
    <x v="0"/>
    <n v="324"/>
    <n v="0.05"/>
    <n v="972"/>
    <n v="923.4"/>
  </r>
  <r>
    <x v="153"/>
    <n v="97"/>
    <n v="115"/>
    <x v="153"/>
    <n v="2"/>
    <x v="1"/>
    <x v="0"/>
    <n v="500"/>
    <n v="0.1"/>
    <n v="1000"/>
    <n v="900"/>
  </r>
  <r>
    <x v="154"/>
    <n v="28"/>
    <n v="190"/>
    <x v="154"/>
    <n v="2"/>
    <x v="2"/>
    <x v="0"/>
    <n v="648"/>
    <n v="0"/>
    <n v="1296"/>
    <n v="1296"/>
  </r>
  <r>
    <x v="155"/>
    <n v="64"/>
    <n v="142"/>
    <x v="155"/>
    <n v="1"/>
    <x v="2"/>
    <x v="0"/>
    <n v="436.8"/>
    <n v="0.05"/>
    <n v="436.8"/>
    <n v="414.96"/>
  </r>
  <r>
    <x v="156"/>
    <n v="97"/>
    <n v="177"/>
    <x v="156"/>
    <n v="1"/>
    <x v="1"/>
    <x v="0"/>
    <n v="86.4"/>
    <n v="0.1"/>
    <n v="86.4"/>
    <n v="77.760000000000005"/>
  </r>
  <r>
    <x v="157"/>
    <n v="69"/>
    <n v="151"/>
    <x v="157"/>
    <n v="1"/>
    <x v="0"/>
    <x v="1"/>
    <n v="270.39999999999998"/>
    <n v="0"/>
    <n v="270.39999999999998"/>
    <n v="270.39999999999998"/>
  </r>
  <r>
    <x v="158"/>
    <n v="61"/>
    <n v="163"/>
    <x v="158"/>
    <n v="3"/>
    <x v="2"/>
    <x v="1"/>
    <n v="194.4"/>
    <n v="0.05"/>
    <n v="583.20000000000005"/>
    <n v="554.04"/>
  </r>
  <r>
    <x v="159"/>
    <n v="48"/>
    <n v="196"/>
    <x v="159"/>
    <n v="1"/>
    <x v="2"/>
    <x v="1"/>
    <n v="1232"/>
    <n v="0"/>
    <n v="1232"/>
    <n v="1232"/>
  </r>
  <r>
    <x v="160"/>
    <n v="19"/>
    <n v="152"/>
    <x v="160"/>
    <n v="1"/>
    <x v="2"/>
    <x v="0"/>
    <n v="728"/>
    <n v="0.1"/>
    <n v="728"/>
    <n v="655.20000000000005"/>
  </r>
  <r>
    <x v="161"/>
    <n v="4"/>
    <n v="196"/>
    <x v="161"/>
    <n v="1"/>
    <x v="2"/>
    <x v="0"/>
    <n v="1232"/>
    <n v="0.15"/>
    <n v="1232"/>
    <n v="1047.2"/>
  </r>
  <r>
    <x v="162"/>
    <n v="35"/>
    <n v="104"/>
    <x v="162"/>
    <n v="2"/>
    <x v="0"/>
    <x v="0"/>
    <n v="90"/>
    <n v="0.1"/>
    <n v="180"/>
    <n v="162"/>
  </r>
  <r>
    <x v="163"/>
    <n v="64"/>
    <n v="194"/>
    <x v="163"/>
    <n v="3"/>
    <x v="2"/>
    <x v="0"/>
    <n v="100.8"/>
    <n v="0"/>
    <n v="302.39999999999998"/>
    <n v="302.39999999999998"/>
  </r>
  <r>
    <x v="164"/>
    <n v="49"/>
    <n v="123"/>
    <x v="164"/>
    <n v="1"/>
    <x v="2"/>
    <x v="0"/>
    <n v="1450"/>
    <n v="0.1"/>
    <n v="1450"/>
    <n v="1305"/>
  </r>
  <r>
    <x v="165"/>
    <n v="17"/>
    <n v="115"/>
    <x v="165"/>
    <n v="1"/>
    <x v="0"/>
    <x v="1"/>
    <n v="500"/>
    <n v="0.1"/>
    <n v="500"/>
    <n v="450"/>
  </r>
  <r>
    <x v="166"/>
    <n v="44"/>
    <n v="143"/>
    <x v="166"/>
    <n v="2"/>
    <x v="2"/>
    <x v="0"/>
    <n v="1872"/>
    <n v="0"/>
    <n v="3744"/>
    <n v="3744"/>
  </r>
  <r>
    <x v="167"/>
    <n v="92"/>
    <n v="129"/>
    <x v="167"/>
    <n v="1"/>
    <x v="2"/>
    <x v="0"/>
    <n v="650"/>
    <n v="0.1"/>
    <n v="650"/>
    <n v="585"/>
  </r>
  <r>
    <x v="168"/>
    <n v="30"/>
    <n v="136"/>
    <x v="168"/>
    <n v="1"/>
    <x v="0"/>
    <x v="0"/>
    <n v="1144"/>
    <n v="0"/>
    <n v="1144"/>
    <n v="1144"/>
  </r>
  <r>
    <x v="169"/>
    <n v="93"/>
    <n v="113"/>
    <x v="169"/>
    <n v="1"/>
    <x v="1"/>
    <x v="1"/>
    <n v="1800"/>
    <n v="0.05"/>
    <n v="1800"/>
    <n v="1710"/>
  </r>
  <r>
    <x v="170"/>
    <n v="46"/>
    <n v="132"/>
    <x v="170"/>
    <n v="1"/>
    <x v="0"/>
    <x v="0"/>
    <n v="1248"/>
    <n v="0"/>
    <n v="1248"/>
    <n v="1248"/>
  </r>
  <r>
    <x v="171"/>
    <n v="6"/>
    <n v="171"/>
    <x v="171"/>
    <n v="1"/>
    <x v="0"/>
    <x v="0"/>
    <n v="345.6"/>
    <n v="0"/>
    <n v="345.6"/>
    <n v="345.6"/>
  </r>
  <r>
    <x v="172"/>
    <n v="99"/>
    <n v="159"/>
    <x v="172"/>
    <n v="1"/>
    <x v="2"/>
    <x v="0"/>
    <n v="676"/>
    <n v="0"/>
    <n v="676"/>
    <n v="676"/>
  </r>
  <r>
    <x v="173"/>
    <n v="37"/>
    <n v="186"/>
    <x v="173"/>
    <n v="1"/>
    <x v="2"/>
    <x v="1"/>
    <n v="129.6"/>
    <n v="0.05"/>
    <n v="129.6"/>
    <n v="123.12"/>
  </r>
  <r>
    <x v="174"/>
    <n v="24"/>
    <n v="128"/>
    <x v="174"/>
    <n v="3"/>
    <x v="0"/>
    <x v="0"/>
    <n v="110"/>
    <n v="0"/>
    <n v="330"/>
    <n v="330"/>
  </r>
  <r>
    <x v="175"/>
    <n v="93"/>
    <n v="166"/>
    <x v="175"/>
    <n v="1"/>
    <x v="2"/>
    <x v="1"/>
    <n v="1188"/>
    <n v="0.05"/>
    <n v="1188"/>
    <n v="1128.5999999999999"/>
  </r>
  <r>
    <x v="176"/>
    <n v="46"/>
    <n v="142"/>
    <x v="176"/>
    <n v="2"/>
    <x v="2"/>
    <x v="1"/>
    <n v="436.8"/>
    <n v="0"/>
    <n v="873.6"/>
    <n v="873.6"/>
  </r>
  <r>
    <x v="177"/>
    <n v="53"/>
    <n v="145"/>
    <x v="177"/>
    <n v="2"/>
    <x v="2"/>
    <x v="0"/>
    <n v="520"/>
    <n v="0"/>
    <n v="1040"/>
    <n v="1040"/>
  </r>
  <r>
    <x v="178"/>
    <n v="95"/>
    <n v="162"/>
    <x v="178"/>
    <n v="1"/>
    <x v="2"/>
    <x v="0"/>
    <n v="1296"/>
    <n v="0"/>
    <n v="1296"/>
    <n v="1296"/>
  </r>
  <r>
    <x v="179"/>
    <n v="99"/>
    <n v="157"/>
    <x v="179"/>
    <n v="2"/>
    <x v="2"/>
    <x v="2"/>
    <n v="72.8"/>
    <n v="0.05"/>
    <n v="145.6"/>
    <n v="138.32"/>
  </r>
  <r>
    <x v="180"/>
    <n v="60"/>
    <n v="106"/>
    <x v="180"/>
    <n v="1"/>
    <x v="2"/>
    <x v="0"/>
    <n v="1100"/>
    <n v="0"/>
    <n v="1100"/>
    <n v="1100"/>
  </r>
  <r>
    <x v="181"/>
    <n v="97"/>
    <n v="128"/>
    <x v="181"/>
    <n v="4"/>
    <x v="2"/>
    <x v="0"/>
    <n v="110"/>
    <n v="0.05"/>
    <n v="440"/>
    <n v="418"/>
  </r>
  <r>
    <x v="182"/>
    <n v="63"/>
    <n v="128"/>
    <x v="182"/>
    <n v="1"/>
    <x v="2"/>
    <x v="1"/>
    <n v="110"/>
    <n v="0.1"/>
    <n v="110"/>
    <n v="99"/>
  </r>
  <r>
    <x v="183"/>
    <n v="85"/>
    <n v="144"/>
    <x v="183"/>
    <n v="1"/>
    <x v="1"/>
    <x v="2"/>
    <n v="468"/>
    <n v="0.05"/>
    <n v="468"/>
    <n v="444.6"/>
  </r>
  <r>
    <x v="184"/>
    <n v="32"/>
    <n v="184"/>
    <x v="184"/>
    <n v="1"/>
    <x v="0"/>
    <x v="2"/>
    <n v="1404"/>
    <n v="0"/>
    <n v="1404"/>
    <n v="1404"/>
  </r>
  <r>
    <x v="185"/>
    <n v="87"/>
    <n v="130"/>
    <x v="185"/>
    <n v="4"/>
    <x v="0"/>
    <x v="1"/>
    <n v="600"/>
    <n v="0"/>
    <n v="2400"/>
    <n v="2400"/>
  </r>
  <r>
    <x v="186"/>
    <n v="33"/>
    <n v="162"/>
    <x v="186"/>
    <n v="2"/>
    <x v="0"/>
    <x v="0"/>
    <n v="1296"/>
    <n v="0.1"/>
    <n v="2592"/>
    <n v="2332.8000000000002"/>
  </r>
  <r>
    <x v="187"/>
    <n v="67"/>
    <n v="175"/>
    <x v="187"/>
    <n v="2"/>
    <x v="2"/>
    <x v="0"/>
    <n v="540"/>
    <n v="0"/>
    <n v="1080"/>
    <n v="1080"/>
  </r>
  <r>
    <x v="188"/>
    <n v="18"/>
    <n v="192"/>
    <x v="188"/>
    <n v="1"/>
    <x v="2"/>
    <x v="1"/>
    <n v="1344"/>
    <n v="0.1"/>
    <n v="1344"/>
    <n v="1209.5999999999999"/>
  </r>
  <r>
    <x v="189"/>
    <n v="25"/>
    <n v="189"/>
    <x v="189"/>
    <n v="2"/>
    <x v="0"/>
    <x v="0"/>
    <n v="702"/>
    <n v="0"/>
    <n v="1404"/>
    <n v="1404"/>
  </r>
  <r>
    <x v="190"/>
    <n v="95"/>
    <n v="162"/>
    <x v="190"/>
    <n v="1"/>
    <x v="0"/>
    <x v="0"/>
    <n v="1296"/>
    <n v="0.1"/>
    <n v="1296"/>
    <n v="1166.4000000000001"/>
  </r>
  <r>
    <x v="191"/>
    <n v="54"/>
    <n v="197"/>
    <x v="191"/>
    <n v="3"/>
    <x v="0"/>
    <x v="2"/>
    <n v="280"/>
    <n v="0.05"/>
    <n v="840"/>
    <n v="798"/>
  </r>
  <r>
    <x v="192"/>
    <n v="58"/>
    <n v="101"/>
    <x v="192"/>
    <n v="1"/>
    <x v="2"/>
    <x v="0"/>
    <n v="3500"/>
    <n v="0.15"/>
    <n v="3500"/>
    <n v="2975"/>
  </r>
  <r>
    <x v="193"/>
    <n v="67"/>
    <n v="127"/>
    <x v="193"/>
    <n v="1"/>
    <x v="2"/>
    <x v="0"/>
    <n v="70"/>
    <n v="0"/>
    <n v="70"/>
    <n v="70"/>
  </r>
  <r>
    <x v="194"/>
    <n v="46"/>
    <n v="162"/>
    <x v="194"/>
    <n v="1"/>
    <x v="2"/>
    <x v="0"/>
    <n v="1296"/>
    <n v="0.05"/>
    <n v="1296"/>
    <n v="1231.2"/>
  </r>
  <r>
    <x v="195"/>
    <n v="24"/>
    <n v="177"/>
    <x v="195"/>
    <n v="1"/>
    <x v="2"/>
    <x v="0"/>
    <n v="86.4"/>
    <n v="0"/>
    <n v="86.4"/>
    <n v="86.4"/>
  </r>
  <r>
    <x v="196"/>
    <n v="32"/>
    <n v="103"/>
    <x v="196"/>
    <n v="2"/>
    <x v="0"/>
    <x v="0"/>
    <n v="180"/>
    <n v="0"/>
    <n v="360"/>
    <n v="360"/>
  </r>
  <r>
    <x v="197"/>
    <n v="47"/>
    <n v="170"/>
    <x v="197"/>
    <n v="1"/>
    <x v="0"/>
    <x v="0"/>
    <n v="172.8"/>
    <n v="0.05"/>
    <n v="172.8"/>
    <n v="164.16"/>
  </r>
  <r>
    <x v="198"/>
    <n v="86"/>
    <n v="172"/>
    <x v="198"/>
    <n v="2"/>
    <x v="2"/>
    <x v="0"/>
    <n v="453.6"/>
    <n v="0.1"/>
    <n v="907.2"/>
    <n v="816.48"/>
  </r>
  <r>
    <x v="199"/>
    <n v="23"/>
    <n v="127"/>
    <x v="199"/>
    <n v="1"/>
    <x v="1"/>
    <x v="0"/>
    <n v="70"/>
    <n v="0.15"/>
    <n v="70"/>
    <n v="59.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n v="9"/>
    <x v="0"/>
    <x v="0"/>
    <n v="2"/>
    <s v="Marketplace"/>
    <x v="0"/>
    <n v="728"/>
    <n v="0"/>
    <n v="1456"/>
    <x v="0"/>
    <x v="0"/>
    <x v="0"/>
  </r>
  <r>
    <n v="1002"/>
    <n v="62"/>
    <x v="1"/>
    <x v="1"/>
    <n v="1"/>
    <s v="Marketplace"/>
    <x v="0"/>
    <n v="201.6"/>
    <n v="0"/>
    <n v="201.6"/>
    <x v="1"/>
    <x v="1"/>
    <x v="0"/>
  </r>
  <r>
    <n v="1003"/>
    <n v="37"/>
    <x v="2"/>
    <x v="2"/>
    <n v="1"/>
    <s v="Loja Física"/>
    <x v="1"/>
    <n v="500"/>
    <n v="0"/>
    <n v="500"/>
    <x v="2"/>
    <x v="2"/>
    <x v="0"/>
  </r>
  <r>
    <n v="1004"/>
    <n v="97"/>
    <x v="3"/>
    <x v="3"/>
    <n v="1"/>
    <s v="Site"/>
    <x v="1"/>
    <n v="453.6"/>
    <n v="0.05"/>
    <n v="453.6"/>
    <x v="3"/>
    <x v="3"/>
    <x v="1"/>
  </r>
  <r>
    <n v="1005"/>
    <n v="51"/>
    <x v="4"/>
    <x v="4"/>
    <n v="1"/>
    <s v="Site"/>
    <x v="0"/>
    <n v="3780"/>
    <n v="0"/>
    <n v="3780"/>
    <x v="4"/>
    <x v="4"/>
    <x v="0"/>
  </r>
  <r>
    <n v="1006"/>
    <n v="44"/>
    <x v="5"/>
    <x v="5"/>
    <n v="1"/>
    <s v="Loja Física"/>
    <x v="1"/>
    <n v="260"/>
    <n v="0"/>
    <n v="260"/>
    <x v="5"/>
    <x v="5"/>
    <x v="0"/>
  </r>
  <r>
    <n v="1007"/>
    <n v="24"/>
    <x v="6"/>
    <x v="6"/>
    <n v="1"/>
    <s v="Site"/>
    <x v="0"/>
    <n v="1566"/>
    <n v="0.1"/>
    <n v="1566"/>
    <x v="6"/>
    <x v="6"/>
    <x v="2"/>
  </r>
  <r>
    <n v="1008"/>
    <n v="79"/>
    <x v="7"/>
    <x v="7"/>
    <n v="1"/>
    <s v="Loja Física"/>
    <x v="0"/>
    <n v="75.599999999999994"/>
    <n v="0.1"/>
    <n v="75.599999999999994"/>
    <x v="7"/>
    <x v="7"/>
    <x v="0"/>
  </r>
  <r>
    <n v="1009"/>
    <n v="59"/>
    <x v="8"/>
    <x v="8"/>
    <n v="1"/>
    <s v="Site"/>
    <x v="1"/>
    <n v="540"/>
    <n v="0"/>
    <n v="540"/>
    <x v="8"/>
    <x v="8"/>
    <x v="0"/>
  </r>
  <r>
    <n v="1010"/>
    <n v="32"/>
    <x v="8"/>
    <x v="9"/>
    <n v="3"/>
    <s v="Loja Física"/>
    <x v="1"/>
    <n v="540"/>
    <n v="0"/>
    <n v="1620"/>
    <x v="9"/>
    <x v="8"/>
    <x v="0"/>
  </r>
  <r>
    <n v="1011"/>
    <n v="96"/>
    <x v="9"/>
    <x v="10"/>
    <n v="1"/>
    <s v="Site"/>
    <x v="1"/>
    <n v="118.8"/>
    <n v="0.05"/>
    <n v="118.8"/>
    <x v="10"/>
    <x v="9"/>
    <x v="1"/>
  </r>
  <r>
    <n v="1012"/>
    <n v="88"/>
    <x v="10"/>
    <x v="11"/>
    <n v="2"/>
    <s v="Loja Física"/>
    <x v="2"/>
    <n v="179.2"/>
    <n v="0"/>
    <n v="358.4"/>
    <x v="11"/>
    <x v="10"/>
    <x v="3"/>
  </r>
  <r>
    <n v="1013"/>
    <n v="52"/>
    <x v="11"/>
    <x v="12"/>
    <n v="1"/>
    <s v="Marketplace"/>
    <x v="0"/>
    <n v="1300"/>
    <n v="0"/>
    <n v="1300"/>
    <x v="12"/>
    <x v="11"/>
    <x v="2"/>
  </r>
  <r>
    <n v="1014"/>
    <n v="62"/>
    <x v="12"/>
    <x v="13"/>
    <n v="4"/>
    <s v="Loja Física"/>
    <x v="0"/>
    <n v="180"/>
    <n v="0"/>
    <n v="720"/>
    <x v="13"/>
    <x v="12"/>
    <x v="0"/>
  </r>
  <r>
    <n v="1015"/>
    <n v="58"/>
    <x v="13"/>
    <x v="14"/>
    <n v="1"/>
    <s v="Site"/>
    <x v="1"/>
    <n v="700"/>
    <n v="0.05"/>
    <n v="700"/>
    <x v="14"/>
    <x v="13"/>
    <x v="0"/>
  </r>
  <r>
    <n v="1016"/>
    <n v="52"/>
    <x v="14"/>
    <x v="15"/>
    <n v="1"/>
    <s v="Marketplace"/>
    <x v="0"/>
    <n v="1508"/>
    <n v="0.05"/>
    <n v="1508"/>
    <x v="15"/>
    <x v="6"/>
    <x v="2"/>
  </r>
  <r>
    <n v="1017"/>
    <n v="12"/>
    <x v="15"/>
    <x v="16"/>
    <n v="4"/>
    <s v="Loja Física"/>
    <x v="1"/>
    <n v="1200"/>
    <n v="0"/>
    <n v="4800"/>
    <x v="16"/>
    <x v="14"/>
    <x v="0"/>
  </r>
  <r>
    <n v="1018"/>
    <n v="39"/>
    <x v="9"/>
    <x v="17"/>
    <n v="3"/>
    <s v="Marketplace"/>
    <x v="1"/>
    <n v="118.8"/>
    <n v="0"/>
    <n v="356.4"/>
    <x v="17"/>
    <x v="9"/>
    <x v="1"/>
  </r>
  <r>
    <n v="1019"/>
    <n v="2"/>
    <x v="16"/>
    <x v="18"/>
    <n v="3"/>
    <s v="Marketplace"/>
    <x v="1"/>
    <n v="600"/>
    <n v="0"/>
    <n v="1800"/>
    <x v="18"/>
    <x v="15"/>
    <x v="0"/>
  </r>
  <r>
    <n v="1020"/>
    <n v="3"/>
    <x v="17"/>
    <x v="19"/>
    <n v="1"/>
    <s v="Marketplace"/>
    <x v="0"/>
    <n v="2288"/>
    <n v="0.05"/>
    <n v="2288"/>
    <x v="19"/>
    <x v="16"/>
    <x v="1"/>
  </r>
  <r>
    <n v="1021"/>
    <n v="56"/>
    <x v="15"/>
    <x v="20"/>
    <n v="1"/>
    <s v="Site"/>
    <x v="0"/>
    <n v="1200"/>
    <n v="0"/>
    <n v="1200"/>
    <x v="20"/>
    <x v="14"/>
    <x v="0"/>
  </r>
  <r>
    <n v="1022"/>
    <n v="81"/>
    <x v="18"/>
    <x v="21"/>
    <n v="2"/>
    <s v="Marketplace"/>
    <x v="0"/>
    <n v="97.2"/>
    <n v="0"/>
    <n v="194.4"/>
    <x v="21"/>
    <x v="17"/>
    <x v="0"/>
  </r>
  <r>
    <n v="1023"/>
    <n v="59"/>
    <x v="19"/>
    <x v="22"/>
    <n v="3"/>
    <s v="Marketplace"/>
    <x v="0"/>
    <n v="624"/>
    <n v="0.05"/>
    <n v="1872"/>
    <x v="22"/>
    <x v="18"/>
    <x v="0"/>
  </r>
  <r>
    <n v="1024"/>
    <n v="2"/>
    <x v="5"/>
    <x v="23"/>
    <n v="2"/>
    <s v="Loja Física"/>
    <x v="0"/>
    <n v="260"/>
    <n v="0"/>
    <n v="520"/>
    <x v="23"/>
    <x v="5"/>
    <x v="0"/>
  </r>
  <r>
    <n v="1025"/>
    <n v="2"/>
    <x v="20"/>
    <x v="24"/>
    <n v="2"/>
    <s v="Site"/>
    <x v="0"/>
    <n v="187.2"/>
    <n v="0.05"/>
    <n v="374.4"/>
    <x v="24"/>
    <x v="1"/>
    <x v="0"/>
  </r>
  <r>
    <n v="1026"/>
    <n v="92"/>
    <x v="21"/>
    <x v="25"/>
    <n v="1"/>
    <s v="Site"/>
    <x v="0"/>
    <n v="378"/>
    <n v="0"/>
    <n v="378"/>
    <x v="25"/>
    <x v="19"/>
    <x v="0"/>
  </r>
  <r>
    <n v="1027"/>
    <n v="54"/>
    <x v="22"/>
    <x v="26"/>
    <n v="2"/>
    <s v="Loja Física"/>
    <x v="0"/>
    <n v="114.4"/>
    <n v="0"/>
    <n v="228.8"/>
    <x v="26"/>
    <x v="9"/>
    <x v="1"/>
  </r>
  <r>
    <n v="1028"/>
    <n v="87"/>
    <x v="13"/>
    <x v="27"/>
    <n v="1"/>
    <s v="Loja Física"/>
    <x v="0"/>
    <n v="700"/>
    <n v="0"/>
    <n v="700"/>
    <x v="27"/>
    <x v="13"/>
    <x v="0"/>
  </r>
  <r>
    <n v="1029"/>
    <n v="96"/>
    <x v="23"/>
    <x v="28"/>
    <n v="1"/>
    <s v="Site"/>
    <x v="0"/>
    <n v="702"/>
    <n v="0.05"/>
    <n v="702"/>
    <x v="28"/>
    <x v="20"/>
    <x v="1"/>
  </r>
  <r>
    <n v="1030"/>
    <n v="97"/>
    <x v="24"/>
    <x v="29"/>
    <n v="1"/>
    <s v="Marketplace"/>
    <x v="0"/>
    <n v="312"/>
    <n v="0.1"/>
    <n v="312"/>
    <x v="29"/>
    <x v="21"/>
    <x v="1"/>
  </r>
  <r>
    <n v="1031"/>
    <n v="1"/>
    <x v="25"/>
    <x v="30"/>
    <n v="2"/>
    <s v="Site"/>
    <x v="1"/>
    <n v="3920"/>
    <n v="0.1"/>
    <n v="7840"/>
    <x v="30"/>
    <x v="4"/>
    <x v="0"/>
  </r>
  <r>
    <n v="1032"/>
    <n v="19"/>
    <x v="26"/>
    <x v="31"/>
    <n v="1"/>
    <s v="Site"/>
    <x v="0"/>
    <n v="676"/>
    <n v="0"/>
    <n v="676"/>
    <x v="31"/>
    <x v="20"/>
    <x v="1"/>
  </r>
  <r>
    <n v="1033"/>
    <n v="2"/>
    <x v="27"/>
    <x v="32"/>
    <n v="1"/>
    <s v="Site"/>
    <x v="0"/>
    <n v="436.8"/>
    <n v="0.05"/>
    <n v="436.8"/>
    <x v="32"/>
    <x v="3"/>
    <x v="1"/>
  </r>
  <r>
    <n v="1034"/>
    <n v="53"/>
    <x v="28"/>
    <x v="33"/>
    <n v="2"/>
    <s v="Site"/>
    <x v="0"/>
    <n v="1344"/>
    <n v="0"/>
    <n v="2688"/>
    <x v="33"/>
    <x v="22"/>
    <x v="0"/>
  </r>
  <r>
    <n v="1035"/>
    <n v="44"/>
    <x v="19"/>
    <x v="34"/>
    <n v="1"/>
    <s v="Marketplace"/>
    <x v="1"/>
    <n v="624"/>
    <n v="0"/>
    <n v="624"/>
    <x v="34"/>
    <x v="18"/>
    <x v="0"/>
  </r>
  <r>
    <n v="1036"/>
    <n v="90"/>
    <x v="29"/>
    <x v="35"/>
    <n v="2"/>
    <s v="Site"/>
    <x v="0"/>
    <n v="302.39999999999998"/>
    <n v="0.1"/>
    <n v="604.79999999999995"/>
    <x v="35"/>
    <x v="23"/>
    <x v="0"/>
  </r>
  <r>
    <n v="1037"/>
    <n v="32"/>
    <x v="2"/>
    <x v="36"/>
    <n v="1"/>
    <s v="Loja Física"/>
    <x v="0"/>
    <n v="500"/>
    <n v="0"/>
    <n v="500"/>
    <x v="2"/>
    <x v="2"/>
    <x v="0"/>
  </r>
  <r>
    <n v="1038"/>
    <n v="70"/>
    <x v="30"/>
    <x v="37"/>
    <n v="1"/>
    <s v="Loja Física"/>
    <x v="0"/>
    <n v="1296"/>
    <n v="0"/>
    <n v="1296"/>
    <x v="36"/>
    <x v="22"/>
    <x v="0"/>
  </r>
  <r>
    <n v="1039"/>
    <n v="32"/>
    <x v="30"/>
    <x v="38"/>
    <n v="2"/>
    <s v="Marketplace"/>
    <x v="0"/>
    <n v="1296"/>
    <n v="0"/>
    <n v="2592"/>
    <x v="37"/>
    <x v="22"/>
    <x v="0"/>
  </r>
  <r>
    <n v="1040"/>
    <n v="68"/>
    <x v="31"/>
    <x v="39"/>
    <n v="1"/>
    <s v="Marketplace"/>
    <x v="0"/>
    <n v="83.2"/>
    <n v="0"/>
    <n v="83.2"/>
    <x v="38"/>
    <x v="24"/>
    <x v="3"/>
  </r>
  <r>
    <n v="1041"/>
    <n v="55"/>
    <x v="30"/>
    <x v="40"/>
    <n v="1"/>
    <s v="Site"/>
    <x v="0"/>
    <n v="1296"/>
    <n v="0"/>
    <n v="1296"/>
    <x v="36"/>
    <x v="22"/>
    <x v="0"/>
  </r>
  <r>
    <n v="1042"/>
    <n v="75"/>
    <x v="32"/>
    <x v="41"/>
    <n v="1"/>
    <s v="Loja Física"/>
    <x v="0"/>
    <n v="270.39999999999998"/>
    <n v="0.05"/>
    <n v="270.39999999999998"/>
    <x v="39"/>
    <x v="25"/>
    <x v="0"/>
  </r>
  <r>
    <n v="1043"/>
    <n v="56"/>
    <x v="33"/>
    <x v="42"/>
    <n v="1"/>
    <s v="Marketplace"/>
    <x v="1"/>
    <n v="187.2"/>
    <n v="0"/>
    <n v="187.2"/>
    <x v="40"/>
    <x v="26"/>
    <x v="2"/>
  </r>
  <r>
    <n v="1044"/>
    <n v="17"/>
    <x v="18"/>
    <x v="43"/>
    <n v="4"/>
    <s v="Site"/>
    <x v="2"/>
    <n v="97.2"/>
    <n v="0.1"/>
    <n v="388.8"/>
    <x v="41"/>
    <x v="17"/>
    <x v="0"/>
  </r>
  <r>
    <n v="1045"/>
    <n v="38"/>
    <x v="12"/>
    <x v="44"/>
    <n v="1"/>
    <s v="Loja Física"/>
    <x v="0"/>
    <n v="180"/>
    <n v="0.1"/>
    <n v="180"/>
    <x v="42"/>
    <x v="12"/>
    <x v="0"/>
  </r>
  <r>
    <n v="1046"/>
    <n v="24"/>
    <x v="32"/>
    <x v="45"/>
    <n v="3"/>
    <s v="Loja Física"/>
    <x v="0"/>
    <n v="270.39999999999998"/>
    <n v="0"/>
    <n v="811.2"/>
    <x v="43"/>
    <x v="25"/>
    <x v="0"/>
  </r>
  <r>
    <n v="1047"/>
    <n v="69"/>
    <x v="34"/>
    <x v="46"/>
    <n v="1"/>
    <s v="Loja Física"/>
    <x v="1"/>
    <n v="250"/>
    <n v="0"/>
    <n v="250"/>
    <x v="44"/>
    <x v="27"/>
    <x v="1"/>
  </r>
  <r>
    <n v="1048"/>
    <n v="98"/>
    <x v="5"/>
    <x v="47"/>
    <n v="2"/>
    <s v="Marketplace"/>
    <x v="0"/>
    <n v="260"/>
    <n v="0"/>
    <n v="520"/>
    <x v="23"/>
    <x v="5"/>
    <x v="0"/>
  </r>
  <r>
    <n v="1049"/>
    <n v="70"/>
    <x v="35"/>
    <x v="48"/>
    <n v="2"/>
    <s v="Marketplace"/>
    <x v="0"/>
    <n v="1944"/>
    <n v="0.05"/>
    <n v="3888"/>
    <x v="45"/>
    <x v="28"/>
    <x v="1"/>
  </r>
  <r>
    <n v="1050"/>
    <n v="86"/>
    <x v="36"/>
    <x v="49"/>
    <n v="2"/>
    <s v="Site"/>
    <x v="0"/>
    <n v="988"/>
    <n v="0"/>
    <n v="1976"/>
    <x v="46"/>
    <x v="29"/>
    <x v="0"/>
  </r>
  <r>
    <n v="1051"/>
    <n v="11"/>
    <x v="37"/>
    <x v="50"/>
    <n v="1"/>
    <s v="Loja Física"/>
    <x v="0"/>
    <n v="140"/>
    <n v="0.05"/>
    <n v="140"/>
    <x v="47"/>
    <x v="30"/>
    <x v="3"/>
  </r>
  <r>
    <n v="1052"/>
    <n v="16"/>
    <x v="38"/>
    <x v="51"/>
    <n v="1"/>
    <s v="Loja Física"/>
    <x v="2"/>
    <n v="90"/>
    <n v="0"/>
    <n v="90"/>
    <x v="48"/>
    <x v="31"/>
    <x v="0"/>
  </r>
  <r>
    <n v="1053"/>
    <n v="97"/>
    <x v="23"/>
    <x v="52"/>
    <n v="1"/>
    <s v="Site"/>
    <x v="1"/>
    <n v="702"/>
    <n v="0.05"/>
    <n v="702"/>
    <x v="28"/>
    <x v="20"/>
    <x v="1"/>
  </r>
  <r>
    <n v="1054"/>
    <n v="73"/>
    <x v="19"/>
    <x v="53"/>
    <n v="3"/>
    <s v="Site"/>
    <x v="0"/>
    <n v="624"/>
    <n v="0"/>
    <n v="1872"/>
    <x v="49"/>
    <x v="18"/>
    <x v="0"/>
  </r>
  <r>
    <n v="1055"/>
    <n v="59"/>
    <x v="39"/>
    <x v="54"/>
    <n v="3"/>
    <s v="Site"/>
    <x v="0"/>
    <n v="450"/>
    <n v="0"/>
    <n v="1350"/>
    <x v="50"/>
    <x v="32"/>
    <x v="0"/>
  </r>
  <r>
    <n v="1056"/>
    <n v="70"/>
    <x v="40"/>
    <x v="55"/>
    <n v="4"/>
    <s v="Loja Física"/>
    <x v="0"/>
    <n v="950"/>
    <n v="0.1"/>
    <n v="3800"/>
    <x v="51"/>
    <x v="33"/>
    <x v="0"/>
  </r>
  <r>
    <n v="1057"/>
    <n v="80"/>
    <x v="41"/>
    <x v="56"/>
    <n v="1"/>
    <s v="Loja Física"/>
    <x v="0"/>
    <n v="648"/>
    <n v="0.05"/>
    <n v="648"/>
    <x v="52"/>
    <x v="18"/>
    <x v="0"/>
  </r>
  <r>
    <n v="1058"/>
    <n v="93"/>
    <x v="14"/>
    <x v="57"/>
    <n v="2"/>
    <s v="Site"/>
    <x v="0"/>
    <n v="1508"/>
    <n v="0"/>
    <n v="3016"/>
    <x v="53"/>
    <x v="6"/>
    <x v="2"/>
  </r>
  <r>
    <n v="1059"/>
    <n v="3"/>
    <x v="15"/>
    <x v="58"/>
    <n v="3"/>
    <s v="Marketplace"/>
    <x v="0"/>
    <n v="1200"/>
    <n v="0.1"/>
    <n v="3600"/>
    <x v="54"/>
    <x v="14"/>
    <x v="0"/>
  </r>
  <r>
    <n v="1060"/>
    <n v="20"/>
    <x v="42"/>
    <x v="59"/>
    <n v="1"/>
    <s v="Site"/>
    <x v="1"/>
    <n v="1404"/>
    <n v="0"/>
    <n v="1404"/>
    <x v="55"/>
    <x v="34"/>
    <x v="2"/>
  </r>
  <r>
    <n v="1061"/>
    <n v="59"/>
    <x v="28"/>
    <x v="60"/>
    <n v="1"/>
    <s v="Loja Física"/>
    <x v="0"/>
    <n v="1344"/>
    <n v="0.1"/>
    <n v="1344"/>
    <x v="56"/>
    <x v="22"/>
    <x v="0"/>
  </r>
  <r>
    <n v="1062"/>
    <n v="36"/>
    <x v="19"/>
    <x v="61"/>
    <n v="2"/>
    <s v="Loja Física"/>
    <x v="0"/>
    <n v="624"/>
    <n v="0.05"/>
    <n v="1248"/>
    <x v="57"/>
    <x v="18"/>
    <x v="0"/>
  </r>
  <r>
    <n v="1063"/>
    <n v="19"/>
    <x v="43"/>
    <x v="62"/>
    <n v="2"/>
    <s v="Loja Física"/>
    <x v="2"/>
    <n v="345.6"/>
    <n v="0"/>
    <n v="691.2"/>
    <x v="58"/>
    <x v="35"/>
    <x v="0"/>
  </r>
  <r>
    <n v="1064"/>
    <n v="90"/>
    <x v="44"/>
    <x v="63"/>
    <n v="3"/>
    <s v="Site"/>
    <x v="1"/>
    <n v="468"/>
    <n v="0"/>
    <n v="1404"/>
    <x v="55"/>
    <x v="36"/>
    <x v="0"/>
  </r>
  <r>
    <n v="1065"/>
    <n v="67"/>
    <x v="45"/>
    <x v="64"/>
    <n v="1"/>
    <s v="Site"/>
    <x v="0"/>
    <n v="2200"/>
    <n v="0"/>
    <n v="2200"/>
    <x v="59"/>
    <x v="37"/>
    <x v="1"/>
  </r>
  <r>
    <n v="1066"/>
    <n v="19"/>
    <x v="31"/>
    <x v="65"/>
    <n v="2"/>
    <s v="Site"/>
    <x v="0"/>
    <n v="83.2"/>
    <n v="0"/>
    <n v="166.4"/>
    <x v="60"/>
    <x v="24"/>
    <x v="3"/>
  </r>
  <r>
    <n v="1067"/>
    <n v="20"/>
    <x v="46"/>
    <x v="66"/>
    <n v="1"/>
    <s v="Site"/>
    <x v="0"/>
    <n v="884"/>
    <n v="0.05"/>
    <n v="884"/>
    <x v="61"/>
    <x v="38"/>
    <x v="2"/>
  </r>
  <r>
    <n v="1068"/>
    <n v="96"/>
    <x v="47"/>
    <x v="67"/>
    <n v="1"/>
    <s v="Loja Física"/>
    <x v="0"/>
    <n v="151.19999999999999"/>
    <n v="0"/>
    <n v="151.19999999999999"/>
    <x v="62"/>
    <x v="39"/>
    <x v="3"/>
  </r>
  <r>
    <n v="1069"/>
    <n v="71"/>
    <x v="48"/>
    <x v="68"/>
    <n v="1"/>
    <s v="Loja Física"/>
    <x v="0"/>
    <n v="280.8"/>
    <n v="0"/>
    <n v="280.8"/>
    <x v="29"/>
    <x v="25"/>
    <x v="0"/>
  </r>
  <r>
    <n v="1070"/>
    <n v="52"/>
    <x v="49"/>
    <x v="69"/>
    <n v="3"/>
    <s v="Loja Física"/>
    <x v="1"/>
    <n v="1144"/>
    <n v="0.1"/>
    <n v="3432"/>
    <x v="63"/>
    <x v="40"/>
    <x v="2"/>
  </r>
  <r>
    <n v="1071"/>
    <n v="33"/>
    <x v="50"/>
    <x v="70"/>
    <n v="2"/>
    <s v="Loja Física"/>
    <x v="0"/>
    <n v="291.2"/>
    <n v="0.15"/>
    <n v="582.4"/>
    <x v="64"/>
    <x v="23"/>
    <x v="0"/>
  </r>
  <r>
    <n v="1072"/>
    <n v="40"/>
    <x v="38"/>
    <x v="71"/>
    <n v="2"/>
    <s v="Marketplace"/>
    <x v="0"/>
    <n v="90"/>
    <n v="0"/>
    <n v="180"/>
    <x v="65"/>
    <x v="31"/>
    <x v="0"/>
  </r>
  <r>
    <n v="1073"/>
    <n v="39"/>
    <x v="15"/>
    <x v="72"/>
    <n v="1"/>
    <s v="Marketplace"/>
    <x v="0"/>
    <n v="1200"/>
    <n v="0"/>
    <n v="1200"/>
    <x v="20"/>
    <x v="14"/>
    <x v="0"/>
  </r>
  <r>
    <n v="1074"/>
    <n v="82"/>
    <x v="51"/>
    <x v="73"/>
    <n v="3"/>
    <s v="Loja Física"/>
    <x v="0"/>
    <n v="1100"/>
    <n v="0"/>
    <n v="3300"/>
    <x v="66"/>
    <x v="41"/>
    <x v="2"/>
  </r>
  <r>
    <n v="1075"/>
    <n v="1"/>
    <x v="52"/>
    <x v="74"/>
    <n v="1"/>
    <s v="Loja Física"/>
    <x v="1"/>
    <n v="1352"/>
    <n v="0"/>
    <n v="1352"/>
    <x v="67"/>
    <x v="34"/>
    <x v="2"/>
  </r>
  <r>
    <n v="1076"/>
    <n v="11"/>
    <x v="38"/>
    <x v="75"/>
    <n v="3"/>
    <s v="Site"/>
    <x v="1"/>
    <n v="90"/>
    <n v="0.1"/>
    <n v="270"/>
    <x v="68"/>
    <x v="31"/>
    <x v="0"/>
  </r>
  <r>
    <n v="1077"/>
    <n v="92"/>
    <x v="52"/>
    <x v="76"/>
    <n v="1"/>
    <s v="Site"/>
    <x v="0"/>
    <n v="1352"/>
    <n v="0"/>
    <n v="1352"/>
    <x v="67"/>
    <x v="34"/>
    <x v="2"/>
  </r>
  <r>
    <n v="1078"/>
    <n v="57"/>
    <x v="1"/>
    <x v="77"/>
    <n v="1"/>
    <s v="Site"/>
    <x v="0"/>
    <n v="201.6"/>
    <n v="0.05"/>
    <n v="201.6"/>
    <x v="69"/>
    <x v="1"/>
    <x v="0"/>
  </r>
  <r>
    <n v="1079"/>
    <n v="89"/>
    <x v="53"/>
    <x v="78"/>
    <n v="1"/>
    <s v="Loja Física"/>
    <x v="0"/>
    <n v="194.4"/>
    <n v="0"/>
    <n v="194.4"/>
    <x v="21"/>
    <x v="1"/>
    <x v="0"/>
  </r>
  <r>
    <n v="1080"/>
    <n v="50"/>
    <x v="37"/>
    <x v="79"/>
    <n v="1"/>
    <s v="Marketplace"/>
    <x v="0"/>
    <n v="140"/>
    <n v="0.05"/>
    <n v="140"/>
    <x v="47"/>
    <x v="30"/>
    <x v="3"/>
  </r>
  <r>
    <n v="1081"/>
    <n v="23"/>
    <x v="41"/>
    <x v="80"/>
    <n v="2"/>
    <s v="Site"/>
    <x v="0"/>
    <n v="648"/>
    <n v="0.05"/>
    <n v="1296"/>
    <x v="70"/>
    <x v="18"/>
    <x v="0"/>
  </r>
  <r>
    <n v="1082"/>
    <n v="31"/>
    <x v="44"/>
    <x v="81"/>
    <n v="2"/>
    <s v="Marketplace"/>
    <x v="0"/>
    <n v="468"/>
    <n v="0.1"/>
    <n v="936"/>
    <x v="71"/>
    <x v="36"/>
    <x v="0"/>
  </r>
  <r>
    <n v="1083"/>
    <n v="94"/>
    <x v="54"/>
    <x v="82"/>
    <n v="1"/>
    <s v="Marketplace"/>
    <x v="0"/>
    <n v="93.6"/>
    <n v="0"/>
    <n v="93.6"/>
    <x v="72"/>
    <x v="17"/>
    <x v="0"/>
  </r>
  <r>
    <n v="1084"/>
    <n v="42"/>
    <x v="55"/>
    <x v="83"/>
    <n v="3"/>
    <s v="Site"/>
    <x v="0"/>
    <n v="486"/>
    <n v="0"/>
    <n v="1458"/>
    <x v="73"/>
    <x v="36"/>
    <x v="0"/>
  </r>
  <r>
    <n v="1085"/>
    <n v="99"/>
    <x v="30"/>
    <x v="84"/>
    <n v="1"/>
    <s v="Site"/>
    <x v="0"/>
    <n v="1296"/>
    <n v="0"/>
    <n v="1296"/>
    <x v="36"/>
    <x v="22"/>
    <x v="0"/>
  </r>
  <r>
    <n v="1086"/>
    <n v="7"/>
    <x v="10"/>
    <x v="85"/>
    <n v="2"/>
    <s v="Marketplace"/>
    <x v="0"/>
    <n v="179.2"/>
    <n v="0.1"/>
    <n v="358.4"/>
    <x v="74"/>
    <x v="10"/>
    <x v="3"/>
  </r>
  <r>
    <n v="1087"/>
    <n v="16"/>
    <x v="39"/>
    <x v="86"/>
    <n v="3"/>
    <s v="Marketplace"/>
    <x v="0"/>
    <n v="450"/>
    <n v="0.1"/>
    <n v="1350"/>
    <x v="75"/>
    <x v="32"/>
    <x v="0"/>
  </r>
  <r>
    <n v="1088"/>
    <n v="90"/>
    <x v="56"/>
    <x v="87"/>
    <n v="2"/>
    <s v="Marketplace"/>
    <x v="0"/>
    <n v="952"/>
    <n v="0.05"/>
    <n v="1904"/>
    <x v="76"/>
    <x v="38"/>
    <x v="2"/>
  </r>
  <r>
    <n v="1089"/>
    <n v="60"/>
    <x v="57"/>
    <x v="88"/>
    <n v="1"/>
    <s v="Marketplace"/>
    <x v="0"/>
    <n v="145.6"/>
    <n v="0.05"/>
    <n v="145.6"/>
    <x v="77"/>
    <x v="39"/>
    <x v="3"/>
  </r>
  <r>
    <n v="1090"/>
    <n v="2"/>
    <x v="2"/>
    <x v="89"/>
    <n v="3"/>
    <s v="Loja Física"/>
    <x v="1"/>
    <n v="500"/>
    <n v="0.05"/>
    <n v="1500"/>
    <x v="78"/>
    <x v="2"/>
    <x v="0"/>
  </r>
  <r>
    <n v="1091"/>
    <n v="1"/>
    <x v="3"/>
    <x v="90"/>
    <n v="2"/>
    <s v="Marketplace"/>
    <x v="0"/>
    <n v="453.6"/>
    <n v="0"/>
    <n v="907.2"/>
    <x v="79"/>
    <x v="3"/>
    <x v="1"/>
  </r>
  <r>
    <n v="1092"/>
    <n v="48"/>
    <x v="47"/>
    <x v="91"/>
    <n v="1"/>
    <s v="Marketplace"/>
    <x v="0"/>
    <n v="151.19999999999999"/>
    <n v="0.1"/>
    <n v="151.19999999999999"/>
    <x v="80"/>
    <x v="39"/>
    <x v="3"/>
  </r>
  <r>
    <n v="1093"/>
    <n v="12"/>
    <x v="7"/>
    <x v="92"/>
    <n v="1"/>
    <s v="Loja Física"/>
    <x v="0"/>
    <n v="75.599999999999994"/>
    <n v="0"/>
    <n v="75.599999999999994"/>
    <x v="81"/>
    <x v="7"/>
    <x v="0"/>
  </r>
  <r>
    <n v="1094"/>
    <n v="69"/>
    <x v="30"/>
    <x v="93"/>
    <n v="2"/>
    <s v="Site"/>
    <x v="0"/>
    <n v="1296"/>
    <n v="0"/>
    <n v="2592"/>
    <x v="37"/>
    <x v="22"/>
    <x v="0"/>
  </r>
  <r>
    <n v="1095"/>
    <n v="37"/>
    <x v="58"/>
    <x v="94"/>
    <n v="2"/>
    <s v="Site"/>
    <x v="0"/>
    <n v="166.4"/>
    <n v="0"/>
    <n v="332.8"/>
    <x v="82"/>
    <x v="10"/>
    <x v="3"/>
  </r>
  <r>
    <n v="1096"/>
    <n v="32"/>
    <x v="59"/>
    <x v="95"/>
    <n v="2"/>
    <s v="Site"/>
    <x v="0"/>
    <n v="194.4"/>
    <n v="0"/>
    <n v="388.8"/>
    <x v="83"/>
    <x v="26"/>
    <x v="2"/>
  </r>
  <r>
    <n v="1097"/>
    <n v="9"/>
    <x v="29"/>
    <x v="96"/>
    <n v="3"/>
    <s v="Marketplace"/>
    <x v="2"/>
    <n v="302.39999999999998"/>
    <n v="0"/>
    <n v="907.2"/>
    <x v="79"/>
    <x v="23"/>
    <x v="0"/>
  </r>
  <r>
    <n v="1098"/>
    <n v="99"/>
    <x v="60"/>
    <x v="97"/>
    <n v="2"/>
    <s v="Marketplace"/>
    <x v="0"/>
    <n v="756"/>
    <n v="0.05"/>
    <n v="1512"/>
    <x v="84"/>
    <x v="0"/>
    <x v="0"/>
  </r>
  <r>
    <n v="1099"/>
    <n v="19"/>
    <x v="14"/>
    <x v="98"/>
    <n v="1"/>
    <s v="Marketplace"/>
    <x v="0"/>
    <n v="1508"/>
    <n v="0"/>
    <n v="1508"/>
    <x v="85"/>
    <x v="6"/>
    <x v="2"/>
  </r>
  <r>
    <n v="1100"/>
    <n v="48"/>
    <x v="11"/>
    <x v="99"/>
    <n v="1"/>
    <s v="Site"/>
    <x v="0"/>
    <n v="1300"/>
    <n v="0.05"/>
    <n v="1300"/>
    <x v="86"/>
    <x v="11"/>
    <x v="2"/>
  </r>
  <r>
    <n v="1101"/>
    <n v="80"/>
    <x v="61"/>
    <x v="100"/>
    <n v="1"/>
    <s v="Site"/>
    <x v="0"/>
    <n v="120"/>
    <n v="0"/>
    <n v="120"/>
    <x v="87"/>
    <x v="42"/>
    <x v="0"/>
  </r>
  <r>
    <n v="1102"/>
    <n v="3"/>
    <x v="23"/>
    <x v="101"/>
    <n v="2"/>
    <s v="Site"/>
    <x v="0"/>
    <n v="702"/>
    <n v="0"/>
    <n v="1404"/>
    <x v="55"/>
    <x v="20"/>
    <x v="1"/>
  </r>
  <r>
    <n v="1103"/>
    <n v="20"/>
    <x v="19"/>
    <x v="102"/>
    <n v="1"/>
    <s v="Site"/>
    <x v="2"/>
    <n v="624"/>
    <n v="0"/>
    <n v="624"/>
    <x v="34"/>
    <x v="18"/>
    <x v="0"/>
  </r>
  <r>
    <n v="1104"/>
    <n v="24"/>
    <x v="62"/>
    <x v="103"/>
    <n v="2"/>
    <s v="Marketplace"/>
    <x v="0"/>
    <n v="332.8"/>
    <n v="0"/>
    <n v="665.6"/>
    <x v="88"/>
    <x v="35"/>
    <x v="0"/>
  </r>
  <r>
    <n v="1105"/>
    <n v="54"/>
    <x v="63"/>
    <x v="104"/>
    <n v="2"/>
    <s v="Site"/>
    <x v="2"/>
    <n v="650"/>
    <n v="0.05"/>
    <n v="1300"/>
    <x v="86"/>
    <x v="43"/>
    <x v="1"/>
  </r>
  <r>
    <n v="1106"/>
    <n v="33"/>
    <x v="2"/>
    <x v="105"/>
    <n v="3"/>
    <s v="Site"/>
    <x v="2"/>
    <n v="500"/>
    <n v="0"/>
    <n v="1500"/>
    <x v="89"/>
    <x v="2"/>
    <x v="0"/>
  </r>
  <r>
    <n v="1107"/>
    <n v="24"/>
    <x v="64"/>
    <x v="106"/>
    <n v="1"/>
    <s v="Loja Física"/>
    <x v="0"/>
    <n v="520"/>
    <n v="0.05"/>
    <n v="520"/>
    <x v="90"/>
    <x v="8"/>
    <x v="0"/>
  </r>
  <r>
    <n v="1108"/>
    <n v="75"/>
    <x v="65"/>
    <x v="107"/>
    <n v="3"/>
    <s v="Site"/>
    <x v="0"/>
    <n v="918"/>
    <n v="0"/>
    <n v="2754"/>
    <x v="91"/>
    <x v="38"/>
    <x v="2"/>
  </r>
  <r>
    <n v="1109"/>
    <n v="72"/>
    <x v="23"/>
    <x v="108"/>
    <n v="1"/>
    <s v="Marketplace"/>
    <x v="0"/>
    <n v="702"/>
    <n v="0.05"/>
    <n v="702"/>
    <x v="28"/>
    <x v="20"/>
    <x v="1"/>
  </r>
  <r>
    <n v="1110"/>
    <n v="36"/>
    <x v="43"/>
    <x v="109"/>
    <n v="3"/>
    <s v="Marketplace"/>
    <x v="0"/>
    <n v="345.6"/>
    <n v="0.1"/>
    <n v="1036.8"/>
    <x v="92"/>
    <x v="35"/>
    <x v="0"/>
  </r>
  <r>
    <n v="1111"/>
    <n v="38"/>
    <x v="40"/>
    <x v="110"/>
    <n v="1"/>
    <s v="Site"/>
    <x v="0"/>
    <n v="950"/>
    <n v="0.05"/>
    <n v="950"/>
    <x v="93"/>
    <x v="33"/>
    <x v="0"/>
  </r>
  <r>
    <n v="1112"/>
    <n v="84"/>
    <x v="9"/>
    <x v="111"/>
    <n v="1"/>
    <s v="Marketplace"/>
    <x v="0"/>
    <n v="118.8"/>
    <n v="0"/>
    <n v="118.8"/>
    <x v="94"/>
    <x v="9"/>
    <x v="1"/>
  </r>
  <r>
    <n v="1113"/>
    <n v="99"/>
    <x v="66"/>
    <x v="112"/>
    <n v="2"/>
    <s v="Loja Física"/>
    <x v="0"/>
    <n v="3500"/>
    <n v="0"/>
    <n v="7000"/>
    <x v="95"/>
    <x v="44"/>
    <x v="0"/>
  </r>
  <r>
    <n v="1114"/>
    <n v="89"/>
    <x v="45"/>
    <x v="113"/>
    <n v="1"/>
    <s v="Loja Física"/>
    <x v="0"/>
    <n v="2200"/>
    <n v="0"/>
    <n v="2200"/>
    <x v="59"/>
    <x v="37"/>
    <x v="1"/>
  </r>
  <r>
    <n v="1115"/>
    <n v="99"/>
    <x v="9"/>
    <x v="114"/>
    <n v="1"/>
    <s v="Site"/>
    <x v="1"/>
    <n v="118.8"/>
    <n v="0.05"/>
    <n v="118.8"/>
    <x v="10"/>
    <x v="9"/>
    <x v="1"/>
  </r>
  <r>
    <n v="1116"/>
    <n v="25"/>
    <x v="53"/>
    <x v="115"/>
    <n v="2"/>
    <s v="Loja Física"/>
    <x v="0"/>
    <n v="194.4"/>
    <n v="0"/>
    <n v="388.8"/>
    <x v="83"/>
    <x v="1"/>
    <x v="0"/>
  </r>
  <r>
    <n v="1117"/>
    <n v="93"/>
    <x v="67"/>
    <x v="116"/>
    <n v="2"/>
    <s v="Site"/>
    <x v="1"/>
    <n v="320"/>
    <n v="0"/>
    <n v="640"/>
    <x v="96"/>
    <x v="45"/>
    <x v="0"/>
  </r>
  <r>
    <n v="1118"/>
    <n v="18"/>
    <x v="48"/>
    <x v="117"/>
    <n v="2"/>
    <s v="Site"/>
    <x v="0"/>
    <n v="280.8"/>
    <n v="0.05"/>
    <n v="561.6"/>
    <x v="97"/>
    <x v="25"/>
    <x v="0"/>
  </r>
  <r>
    <n v="1119"/>
    <n v="82"/>
    <x v="45"/>
    <x v="118"/>
    <n v="2"/>
    <s v="Site"/>
    <x v="0"/>
    <n v="2200"/>
    <n v="0"/>
    <n v="4400"/>
    <x v="98"/>
    <x v="37"/>
    <x v="1"/>
  </r>
  <r>
    <n v="1120"/>
    <n v="66"/>
    <x v="46"/>
    <x v="119"/>
    <n v="2"/>
    <s v="Loja Física"/>
    <x v="0"/>
    <n v="884"/>
    <n v="0.05"/>
    <n v="1768"/>
    <x v="99"/>
    <x v="38"/>
    <x v="2"/>
  </r>
  <r>
    <n v="1121"/>
    <n v="54"/>
    <x v="46"/>
    <x v="120"/>
    <n v="1"/>
    <s v="Site"/>
    <x v="0"/>
    <n v="884"/>
    <n v="0"/>
    <n v="884"/>
    <x v="100"/>
    <x v="38"/>
    <x v="2"/>
  </r>
  <r>
    <n v="1122"/>
    <n v="35"/>
    <x v="20"/>
    <x v="121"/>
    <n v="1"/>
    <s v="Site"/>
    <x v="1"/>
    <n v="187.2"/>
    <n v="0"/>
    <n v="187.2"/>
    <x v="40"/>
    <x v="1"/>
    <x v="0"/>
  </r>
  <r>
    <n v="1123"/>
    <n v="80"/>
    <x v="68"/>
    <x v="122"/>
    <n v="1"/>
    <s v="Marketplace"/>
    <x v="1"/>
    <n v="850"/>
    <n v="0.05"/>
    <n v="850"/>
    <x v="101"/>
    <x v="46"/>
    <x v="2"/>
  </r>
  <r>
    <n v="1124"/>
    <n v="61"/>
    <x v="62"/>
    <x v="123"/>
    <n v="3"/>
    <s v="Site"/>
    <x v="1"/>
    <n v="332.8"/>
    <n v="0"/>
    <n v="998.4"/>
    <x v="102"/>
    <x v="35"/>
    <x v="0"/>
  </r>
  <r>
    <n v="1125"/>
    <n v="41"/>
    <x v="69"/>
    <x v="124"/>
    <n v="2"/>
    <s v="Site"/>
    <x v="0"/>
    <n v="110"/>
    <n v="0.05"/>
    <n v="220"/>
    <x v="103"/>
    <x v="47"/>
    <x v="1"/>
  </r>
  <r>
    <n v="1126"/>
    <n v="100"/>
    <x v="34"/>
    <x v="125"/>
    <n v="1"/>
    <s v="Site"/>
    <x v="0"/>
    <n v="250"/>
    <n v="0"/>
    <n v="250"/>
    <x v="44"/>
    <x v="27"/>
    <x v="1"/>
  </r>
  <r>
    <n v="1127"/>
    <n v="33"/>
    <x v="35"/>
    <x v="126"/>
    <n v="1"/>
    <s v="Site"/>
    <x v="1"/>
    <n v="1944"/>
    <n v="0"/>
    <n v="1944"/>
    <x v="104"/>
    <x v="28"/>
    <x v="1"/>
  </r>
  <r>
    <n v="1128"/>
    <n v="68"/>
    <x v="3"/>
    <x v="127"/>
    <n v="3"/>
    <s v="Site"/>
    <x v="1"/>
    <n v="453.6"/>
    <n v="0.1"/>
    <n v="1360.8"/>
    <x v="105"/>
    <x v="3"/>
    <x v="1"/>
  </r>
  <r>
    <n v="1129"/>
    <n v="33"/>
    <x v="70"/>
    <x v="128"/>
    <n v="1"/>
    <s v="Site"/>
    <x v="2"/>
    <n v="420"/>
    <n v="0.05"/>
    <n v="420"/>
    <x v="106"/>
    <x v="48"/>
    <x v="1"/>
  </r>
  <r>
    <n v="1130"/>
    <n v="14"/>
    <x v="54"/>
    <x v="129"/>
    <n v="2"/>
    <s v="Marketplace"/>
    <x v="0"/>
    <n v="93.6"/>
    <n v="0.05"/>
    <n v="187.2"/>
    <x v="107"/>
    <x v="17"/>
    <x v="0"/>
  </r>
  <r>
    <n v="1131"/>
    <n v="21"/>
    <x v="20"/>
    <x v="130"/>
    <n v="2"/>
    <s v="Site"/>
    <x v="0"/>
    <n v="187.2"/>
    <n v="0"/>
    <n v="374.4"/>
    <x v="108"/>
    <x v="1"/>
    <x v="0"/>
  </r>
  <r>
    <n v="1132"/>
    <n v="48"/>
    <x v="57"/>
    <x v="131"/>
    <n v="2"/>
    <s v="Site"/>
    <x v="1"/>
    <n v="145.6"/>
    <n v="0.05"/>
    <n v="291.2"/>
    <x v="109"/>
    <x v="39"/>
    <x v="3"/>
  </r>
  <r>
    <n v="1133"/>
    <n v="20"/>
    <x v="71"/>
    <x v="132"/>
    <n v="1"/>
    <s v="Loja Física"/>
    <x v="0"/>
    <n v="1450"/>
    <n v="0"/>
    <n v="1450"/>
    <x v="110"/>
    <x v="49"/>
    <x v="2"/>
  </r>
  <r>
    <n v="1134"/>
    <n v="8"/>
    <x v="30"/>
    <x v="133"/>
    <n v="3"/>
    <s v="Site"/>
    <x v="2"/>
    <n v="1296"/>
    <n v="0"/>
    <n v="3888"/>
    <x v="111"/>
    <x v="22"/>
    <x v="0"/>
  </r>
  <r>
    <n v="1135"/>
    <n v="7"/>
    <x v="9"/>
    <x v="134"/>
    <n v="3"/>
    <s v="Marketplace"/>
    <x v="1"/>
    <n v="118.8"/>
    <n v="0.1"/>
    <n v="356.4"/>
    <x v="112"/>
    <x v="9"/>
    <x v="1"/>
  </r>
  <r>
    <n v="1136"/>
    <n v="67"/>
    <x v="72"/>
    <x v="135"/>
    <n v="2"/>
    <s v="Site"/>
    <x v="0"/>
    <n v="260"/>
    <n v="0"/>
    <n v="520"/>
    <x v="23"/>
    <x v="50"/>
    <x v="1"/>
  </r>
  <r>
    <n v="1137"/>
    <n v="17"/>
    <x v="73"/>
    <x v="136"/>
    <n v="2"/>
    <s v="Site"/>
    <x v="1"/>
    <n v="1064"/>
    <n v="0.15"/>
    <n v="2128"/>
    <x v="76"/>
    <x v="29"/>
    <x v="0"/>
  </r>
  <r>
    <n v="1138"/>
    <n v="33"/>
    <x v="44"/>
    <x v="137"/>
    <n v="3"/>
    <s v="Site"/>
    <x v="1"/>
    <n v="468"/>
    <n v="0"/>
    <n v="1404"/>
    <x v="55"/>
    <x v="36"/>
    <x v="0"/>
  </r>
  <r>
    <n v="1139"/>
    <n v="48"/>
    <x v="74"/>
    <x v="138"/>
    <n v="2"/>
    <s v="Site"/>
    <x v="0"/>
    <n v="129.6"/>
    <n v="0"/>
    <n v="259.2"/>
    <x v="113"/>
    <x v="51"/>
    <x v="0"/>
  </r>
  <r>
    <n v="1140"/>
    <n v="76"/>
    <x v="25"/>
    <x v="139"/>
    <n v="1"/>
    <s v="Site"/>
    <x v="2"/>
    <n v="3920"/>
    <n v="0"/>
    <n v="3920"/>
    <x v="114"/>
    <x v="4"/>
    <x v="0"/>
  </r>
  <r>
    <n v="1141"/>
    <n v="59"/>
    <x v="46"/>
    <x v="140"/>
    <n v="2"/>
    <s v="Site"/>
    <x v="0"/>
    <n v="884"/>
    <n v="0.1"/>
    <n v="1768"/>
    <x v="115"/>
    <x v="38"/>
    <x v="2"/>
  </r>
  <r>
    <n v="1142"/>
    <n v="86"/>
    <x v="65"/>
    <x v="141"/>
    <n v="2"/>
    <s v="Site"/>
    <x v="1"/>
    <n v="918"/>
    <n v="0.05"/>
    <n v="1836"/>
    <x v="116"/>
    <x v="38"/>
    <x v="2"/>
  </r>
  <r>
    <n v="1143"/>
    <n v="22"/>
    <x v="73"/>
    <x v="142"/>
    <n v="1"/>
    <s v="Site"/>
    <x v="0"/>
    <n v="1064"/>
    <n v="0.1"/>
    <n v="1064"/>
    <x v="117"/>
    <x v="29"/>
    <x v="0"/>
  </r>
  <r>
    <n v="1144"/>
    <n v="30"/>
    <x v="31"/>
    <x v="143"/>
    <n v="2"/>
    <s v="Site"/>
    <x v="1"/>
    <n v="83.2"/>
    <n v="0.05"/>
    <n v="166.4"/>
    <x v="118"/>
    <x v="24"/>
    <x v="3"/>
  </r>
  <r>
    <n v="1145"/>
    <n v="38"/>
    <x v="47"/>
    <x v="144"/>
    <n v="3"/>
    <s v="Site"/>
    <x v="0"/>
    <n v="151.19999999999999"/>
    <n v="0.05"/>
    <n v="453.6"/>
    <x v="3"/>
    <x v="39"/>
    <x v="3"/>
  </r>
  <r>
    <n v="1146"/>
    <n v="51"/>
    <x v="12"/>
    <x v="145"/>
    <n v="3"/>
    <s v="Site"/>
    <x v="0"/>
    <n v="180"/>
    <n v="0.1"/>
    <n v="540"/>
    <x v="119"/>
    <x v="12"/>
    <x v="0"/>
  </r>
  <r>
    <n v="1147"/>
    <n v="54"/>
    <x v="66"/>
    <x v="146"/>
    <n v="1"/>
    <s v="Marketplace"/>
    <x v="2"/>
    <n v="3500"/>
    <n v="0"/>
    <n v="3500"/>
    <x v="120"/>
    <x v="44"/>
    <x v="0"/>
  </r>
  <r>
    <n v="1148"/>
    <n v="8"/>
    <x v="68"/>
    <x v="147"/>
    <n v="1"/>
    <s v="Marketplace"/>
    <x v="0"/>
    <n v="850"/>
    <n v="0"/>
    <n v="850"/>
    <x v="121"/>
    <x v="46"/>
    <x v="2"/>
  </r>
  <r>
    <n v="1149"/>
    <n v="27"/>
    <x v="41"/>
    <x v="148"/>
    <n v="4"/>
    <s v="Site"/>
    <x v="0"/>
    <n v="648"/>
    <n v="0"/>
    <n v="2592"/>
    <x v="37"/>
    <x v="18"/>
    <x v="0"/>
  </r>
  <r>
    <n v="1150"/>
    <n v="27"/>
    <x v="39"/>
    <x v="149"/>
    <n v="3"/>
    <s v="Marketplace"/>
    <x v="2"/>
    <n v="450"/>
    <n v="0.15"/>
    <n v="1350"/>
    <x v="122"/>
    <x v="32"/>
    <x v="0"/>
  </r>
  <r>
    <n v="1151"/>
    <n v="98"/>
    <x v="75"/>
    <x v="150"/>
    <n v="1"/>
    <s v="Marketplace"/>
    <x v="2"/>
    <n v="70"/>
    <n v="0.1"/>
    <n v="70"/>
    <x v="123"/>
    <x v="52"/>
    <x v="0"/>
  </r>
  <r>
    <n v="1152"/>
    <n v="21"/>
    <x v="40"/>
    <x v="151"/>
    <n v="3"/>
    <s v="Site"/>
    <x v="0"/>
    <n v="950"/>
    <n v="0"/>
    <n v="2850"/>
    <x v="124"/>
    <x v="33"/>
    <x v="0"/>
  </r>
  <r>
    <n v="1153"/>
    <n v="30"/>
    <x v="76"/>
    <x v="152"/>
    <n v="3"/>
    <s v="Loja Física"/>
    <x v="0"/>
    <n v="324"/>
    <n v="0.05"/>
    <n v="972"/>
    <x v="125"/>
    <x v="21"/>
    <x v="1"/>
  </r>
  <r>
    <n v="1154"/>
    <n v="97"/>
    <x v="2"/>
    <x v="153"/>
    <n v="2"/>
    <s v="Loja Física"/>
    <x v="0"/>
    <n v="500"/>
    <n v="0.1"/>
    <n v="1000"/>
    <x v="126"/>
    <x v="2"/>
    <x v="0"/>
  </r>
  <r>
    <n v="1155"/>
    <n v="28"/>
    <x v="41"/>
    <x v="154"/>
    <n v="2"/>
    <s v="Site"/>
    <x v="0"/>
    <n v="648"/>
    <n v="0"/>
    <n v="1296"/>
    <x v="36"/>
    <x v="18"/>
    <x v="0"/>
  </r>
  <r>
    <n v="1156"/>
    <n v="64"/>
    <x v="27"/>
    <x v="155"/>
    <n v="1"/>
    <s v="Site"/>
    <x v="0"/>
    <n v="436.8"/>
    <n v="0.05"/>
    <n v="436.8"/>
    <x v="32"/>
    <x v="3"/>
    <x v="1"/>
  </r>
  <r>
    <n v="1157"/>
    <n v="97"/>
    <x v="77"/>
    <x v="156"/>
    <n v="1"/>
    <s v="Loja Física"/>
    <x v="0"/>
    <n v="86.4"/>
    <n v="0.1"/>
    <n v="86.4"/>
    <x v="127"/>
    <x v="24"/>
    <x v="3"/>
  </r>
  <r>
    <n v="1158"/>
    <n v="69"/>
    <x v="32"/>
    <x v="157"/>
    <n v="1"/>
    <s v="Marketplace"/>
    <x v="1"/>
    <n v="270.39999999999998"/>
    <n v="0"/>
    <n v="270.39999999999998"/>
    <x v="128"/>
    <x v="25"/>
    <x v="0"/>
  </r>
  <r>
    <n v="1159"/>
    <n v="61"/>
    <x v="53"/>
    <x v="158"/>
    <n v="3"/>
    <s v="Site"/>
    <x v="1"/>
    <n v="194.4"/>
    <n v="0.05"/>
    <n v="583.20000000000005"/>
    <x v="129"/>
    <x v="1"/>
    <x v="0"/>
  </r>
  <r>
    <n v="1160"/>
    <n v="48"/>
    <x v="78"/>
    <x v="159"/>
    <n v="1"/>
    <s v="Site"/>
    <x v="1"/>
    <n v="1232"/>
    <n v="0"/>
    <n v="1232"/>
    <x v="130"/>
    <x v="40"/>
    <x v="2"/>
  </r>
  <r>
    <n v="1161"/>
    <n v="19"/>
    <x v="0"/>
    <x v="160"/>
    <n v="1"/>
    <s v="Site"/>
    <x v="0"/>
    <n v="728"/>
    <n v="0.1"/>
    <n v="728"/>
    <x v="131"/>
    <x v="0"/>
    <x v="0"/>
  </r>
  <r>
    <n v="1162"/>
    <n v="4"/>
    <x v="78"/>
    <x v="161"/>
    <n v="1"/>
    <s v="Site"/>
    <x v="0"/>
    <n v="1232"/>
    <n v="0.15"/>
    <n v="1232"/>
    <x v="132"/>
    <x v="40"/>
    <x v="2"/>
  </r>
  <r>
    <n v="1163"/>
    <n v="35"/>
    <x v="38"/>
    <x v="162"/>
    <n v="2"/>
    <s v="Marketplace"/>
    <x v="0"/>
    <n v="90"/>
    <n v="0.1"/>
    <n v="180"/>
    <x v="42"/>
    <x v="31"/>
    <x v="0"/>
  </r>
  <r>
    <n v="1164"/>
    <n v="64"/>
    <x v="79"/>
    <x v="163"/>
    <n v="3"/>
    <s v="Site"/>
    <x v="0"/>
    <n v="100.8"/>
    <n v="0"/>
    <n v="302.39999999999998"/>
    <x v="133"/>
    <x v="17"/>
    <x v="0"/>
  </r>
  <r>
    <n v="1165"/>
    <n v="49"/>
    <x v="71"/>
    <x v="164"/>
    <n v="1"/>
    <s v="Site"/>
    <x v="0"/>
    <n v="1450"/>
    <n v="0.1"/>
    <n v="1450"/>
    <x v="134"/>
    <x v="49"/>
    <x v="2"/>
  </r>
  <r>
    <n v="1166"/>
    <n v="17"/>
    <x v="2"/>
    <x v="165"/>
    <n v="1"/>
    <s v="Marketplace"/>
    <x v="1"/>
    <n v="500"/>
    <n v="0.1"/>
    <n v="500"/>
    <x v="135"/>
    <x v="2"/>
    <x v="0"/>
  </r>
  <r>
    <n v="1167"/>
    <n v="44"/>
    <x v="80"/>
    <x v="166"/>
    <n v="2"/>
    <s v="Site"/>
    <x v="0"/>
    <n v="1872"/>
    <n v="0"/>
    <n v="3744"/>
    <x v="136"/>
    <x v="28"/>
    <x v="1"/>
  </r>
  <r>
    <n v="1168"/>
    <n v="92"/>
    <x v="63"/>
    <x v="167"/>
    <n v="1"/>
    <s v="Site"/>
    <x v="0"/>
    <n v="650"/>
    <n v="0.1"/>
    <n v="650"/>
    <x v="137"/>
    <x v="43"/>
    <x v="1"/>
  </r>
  <r>
    <n v="1169"/>
    <n v="30"/>
    <x v="49"/>
    <x v="168"/>
    <n v="1"/>
    <s v="Marketplace"/>
    <x v="0"/>
    <n v="1144"/>
    <n v="0"/>
    <n v="1144"/>
    <x v="138"/>
    <x v="40"/>
    <x v="2"/>
  </r>
  <r>
    <n v="1170"/>
    <n v="93"/>
    <x v="81"/>
    <x v="169"/>
    <n v="1"/>
    <s v="Loja Física"/>
    <x v="1"/>
    <n v="1800"/>
    <n v="0.05"/>
    <n v="1800"/>
    <x v="139"/>
    <x v="53"/>
    <x v="1"/>
  </r>
  <r>
    <n v="1171"/>
    <n v="46"/>
    <x v="82"/>
    <x v="170"/>
    <n v="1"/>
    <s v="Marketplace"/>
    <x v="0"/>
    <n v="1248"/>
    <n v="0"/>
    <n v="1248"/>
    <x v="140"/>
    <x v="22"/>
    <x v="0"/>
  </r>
  <r>
    <n v="1172"/>
    <n v="6"/>
    <x v="43"/>
    <x v="171"/>
    <n v="1"/>
    <s v="Marketplace"/>
    <x v="0"/>
    <n v="345.6"/>
    <n v="0"/>
    <n v="345.6"/>
    <x v="141"/>
    <x v="35"/>
    <x v="0"/>
  </r>
  <r>
    <n v="1173"/>
    <n v="99"/>
    <x v="26"/>
    <x v="172"/>
    <n v="1"/>
    <s v="Site"/>
    <x v="0"/>
    <n v="676"/>
    <n v="0"/>
    <n v="676"/>
    <x v="31"/>
    <x v="20"/>
    <x v="1"/>
  </r>
  <r>
    <n v="1174"/>
    <n v="37"/>
    <x v="74"/>
    <x v="173"/>
    <n v="1"/>
    <s v="Site"/>
    <x v="1"/>
    <n v="129.6"/>
    <n v="0.05"/>
    <n v="129.6"/>
    <x v="142"/>
    <x v="51"/>
    <x v="0"/>
  </r>
  <r>
    <n v="1175"/>
    <n v="24"/>
    <x v="69"/>
    <x v="174"/>
    <n v="3"/>
    <s v="Marketplace"/>
    <x v="0"/>
    <n v="110"/>
    <n v="0"/>
    <n v="330"/>
    <x v="143"/>
    <x v="47"/>
    <x v="1"/>
  </r>
  <r>
    <n v="1176"/>
    <n v="93"/>
    <x v="83"/>
    <x v="175"/>
    <n v="1"/>
    <s v="Site"/>
    <x v="1"/>
    <n v="1188"/>
    <n v="0.05"/>
    <n v="1188"/>
    <x v="144"/>
    <x v="40"/>
    <x v="2"/>
  </r>
  <r>
    <n v="1177"/>
    <n v="46"/>
    <x v="27"/>
    <x v="176"/>
    <n v="2"/>
    <s v="Site"/>
    <x v="1"/>
    <n v="436.8"/>
    <n v="0"/>
    <n v="873.6"/>
    <x v="145"/>
    <x v="3"/>
    <x v="1"/>
  </r>
  <r>
    <n v="1178"/>
    <n v="53"/>
    <x v="64"/>
    <x v="177"/>
    <n v="2"/>
    <s v="Site"/>
    <x v="0"/>
    <n v="520"/>
    <n v="0"/>
    <n v="1040"/>
    <x v="146"/>
    <x v="8"/>
    <x v="0"/>
  </r>
  <r>
    <n v="1179"/>
    <n v="95"/>
    <x v="30"/>
    <x v="178"/>
    <n v="1"/>
    <s v="Site"/>
    <x v="0"/>
    <n v="1296"/>
    <n v="0"/>
    <n v="1296"/>
    <x v="36"/>
    <x v="22"/>
    <x v="0"/>
  </r>
  <r>
    <n v="1180"/>
    <n v="99"/>
    <x v="84"/>
    <x v="179"/>
    <n v="2"/>
    <s v="Site"/>
    <x v="2"/>
    <n v="72.8"/>
    <n v="0.05"/>
    <n v="145.6"/>
    <x v="77"/>
    <x v="7"/>
    <x v="0"/>
  </r>
  <r>
    <n v="1181"/>
    <n v="60"/>
    <x v="51"/>
    <x v="180"/>
    <n v="1"/>
    <s v="Site"/>
    <x v="0"/>
    <n v="1100"/>
    <n v="0"/>
    <n v="1100"/>
    <x v="147"/>
    <x v="41"/>
    <x v="2"/>
  </r>
  <r>
    <n v="1182"/>
    <n v="97"/>
    <x v="69"/>
    <x v="181"/>
    <n v="4"/>
    <s v="Site"/>
    <x v="0"/>
    <n v="110"/>
    <n v="0.05"/>
    <n v="440"/>
    <x v="148"/>
    <x v="47"/>
    <x v="1"/>
  </r>
  <r>
    <n v="1183"/>
    <n v="63"/>
    <x v="69"/>
    <x v="182"/>
    <n v="1"/>
    <s v="Site"/>
    <x v="1"/>
    <n v="110"/>
    <n v="0.1"/>
    <n v="110"/>
    <x v="149"/>
    <x v="47"/>
    <x v="1"/>
  </r>
  <r>
    <n v="1184"/>
    <n v="85"/>
    <x v="44"/>
    <x v="183"/>
    <n v="1"/>
    <s v="Loja Física"/>
    <x v="2"/>
    <n v="468"/>
    <n v="0.05"/>
    <n v="468"/>
    <x v="150"/>
    <x v="36"/>
    <x v="0"/>
  </r>
  <r>
    <n v="1185"/>
    <n v="32"/>
    <x v="42"/>
    <x v="184"/>
    <n v="1"/>
    <s v="Marketplace"/>
    <x v="2"/>
    <n v="1404"/>
    <n v="0"/>
    <n v="1404"/>
    <x v="55"/>
    <x v="34"/>
    <x v="2"/>
  </r>
  <r>
    <n v="1186"/>
    <n v="87"/>
    <x v="16"/>
    <x v="185"/>
    <n v="4"/>
    <s v="Marketplace"/>
    <x v="1"/>
    <n v="600"/>
    <n v="0"/>
    <n v="2400"/>
    <x v="151"/>
    <x v="15"/>
    <x v="0"/>
  </r>
  <r>
    <n v="1187"/>
    <n v="33"/>
    <x v="30"/>
    <x v="186"/>
    <n v="2"/>
    <s v="Marketplace"/>
    <x v="0"/>
    <n v="1296"/>
    <n v="0.1"/>
    <n v="2592"/>
    <x v="152"/>
    <x v="22"/>
    <x v="0"/>
  </r>
  <r>
    <n v="1188"/>
    <n v="67"/>
    <x v="8"/>
    <x v="187"/>
    <n v="2"/>
    <s v="Site"/>
    <x v="0"/>
    <n v="540"/>
    <n v="0"/>
    <n v="1080"/>
    <x v="153"/>
    <x v="8"/>
    <x v="0"/>
  </r>
  <r>
    <n v="1189"/>
    <n v="18"/>
    <x v="28"/>
    <x v="188"/>
    <n v="1"/>
    <s v="Site"/>
    <x v="1"/>
    <n v="1344"/>
    <n v="0.1"/>
    <n v="1344"/>
    <x v="56"/>
    <x v="22"/>
    <x v="0"/>
  </r>
  <r>
    <n v="1190"/>
    <n v="25"/>
    <x v="23"/>
    <x v="189"/>
    <n v="2"/>
    <s v="Marketplace"/>
    <x v="0"/>
    <n v="702"/>
    <n v="0"/>
    <n v="1404"/>
    <x v="55"/>
    <x v="20"/>
    <x v="1"/>
  </r>
  <r>
    <n v="1191"/>
    <n v="95"/>
    <x v="30"/>
    <x v="190"/>
    <n v="1"/>
    <s v="Marketplace"/>
    <x v="0"/>
    <n v="1296"/>
    <n v="0.1"/>
    <n v="1296"/>
    <x v="154"/>
    <x v="22"/>
    <x v="0"/>
  </r>
  <r>
    <n v="1192"/>
    <n v="54"/>
    <x v="85"/>
    <x v="191"/>
    <n v="3"/>
    <s v="Marketplace"/>
    <x v="2"/>
    <n v="280"/>
    <n v="0.05"/>
    <n v="840"/>
    <x v="155"/>
    <x v="50"/>
    <x v="1"/>
  </r>
  <r>
    <n v="1193"/>
    <n v="58"/>
    <x v="66"/>
    <x v="192"/>
    <n v="1"/>
    <s v="Site"/>
    <x v="0"/>
    <n v="3500"/>
    <n v="0.15"/>
    <n v="3500"/>
    <x v="156"/>
    <x v="44"/>
    <x v="0"/>
  </r>
  <r>
    <n v="1194"/>
    <n v="67"/>
    <x v="75"/>
    <x v="193"/>
    <n v="1"/>
    <s v="Site"/>
    <x v="0"/>
    <n v="70"/>
    <n v="0"/>
    <n v="70"/>
    <x v="157"/>
    <x v="52"/>
    <x v="0"/>
  </r>
  <r>
    <n v="1195"/>
    <n v="46"/>
    <x v="30"/>
    <x v="194"/>
    <n v="1"/>
    <s v="Site"/>
    <x v="0"/>
    <n v="1296"/>
    <n v="0.05"/>
    <n v="1296"/>
    <x v="70"/>
    <x v="22"/>
    <x v="0"/>
  </r>
  <r>
    <n v="1196"/>
    <n v="24"/>
    <x v="77"/>
    <x v="195"/>
    <n v="1"/>
    <s v="Site"/>
    <x v="0"/>
    <n v="86.4"/>
    <n v="0"/>
    <n v="86.4"/>
    <x v="158"/>
    <x v="24"/>
    <x v="3"/>
  </r>
  <r>
    <n v="1197"/>
    <n v="32"/>
    <x v="12"/>
    <x v="196"/>
    <n v="2"/>
    <s v="Marketplace"/>
    <x v="0"/>
    <n v="180"/>
    <n v="0"/>
    <n v="360"/>
    <x v="159"/>
    <x v="12"/>
    <x v="0"/>
  </r>
  <r>
    <n v="1198"/>
    <n v="47"/>
    <x v="86"/>
    <x v="197"/>
    <n v="1"/>
    <s v="Marketplace"/>
    <x v="0"/>
    <n v="172.8"/>
    <n v="0.05"/>
    <n v="172.8"/>
    <x v="160"/>
    <x v="10"/>
    <x v="3"/>
  </r>
  <r>
    <n v="1199"/>
    <n v="86"/>
    <x v="3"/>
    <x v="198"/>
    <n v="2"/>
    <s v="Site"/>
    <x v="0"/>
    <n v="453.6"/>
    <n v="0.1"/>
    <n v="907.2"/>
    <x v="161"/>
    <x v="3"/>
    <x v="1"/>
  </r>
  <r>
    <n v="1200"/>
    <n v="23"/>
    <x v="75"/>
    <x v="199"/>
    <n v="1"/>
    <s v="Loja Física"/>
    <x v="0"/>
    <n v="70"/>
    <n v="0.15"/>
    <n v="70"/>
    <x v="162"/>
    <x v="52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1001"/>
    <n v="9"/>
    <n v="152"/>
    <d v="2026-01-01T00:00:00"/>
    <n v="2"/>
    <s v="Marketplace"/>
    <s v="Entregue"/>
    <n v="728"/>
    <n v="0"/>
    <n v="1456"/>
    <n v="1456"/>
    <s v="Nobreak "/>
    <s v="Informática"/>
    <x v="0"/>
  </r>
  <r>
    <n v="1002"/>
    <n v="62"/>
    <n v="193"/>
    <d v="2026-01-02T00:00:00"/>
    <n v="1"/>
    <s v="Marketplace"/>
    <s v="Entregue"/>
    <n v="201.6"/>
    <n v="0"/>
    <n v="201.6"/>
    <n v="201.6"/>
    <s v="Teclado "/>
    <s v="Informática"/>
    <x v="1"/>
  </r>
  <r>
    <n v="1003"/>
    <n v="37"/>
    <n v="115"/>
    <d v="2026-01-04T00:00:00"/>
    <n v="1"/>
    <s v="Loja Física"/>
    <s v="Em transporte"/>
    <n v="500"/>
    <n v="0"/>
    <n v="500"/>
    <n v="500"/>
    <s v="SSD"/>
    <s v="Informática"/>
    <x v="2"/>
  </r>
  <r>
    <n v="1004"/>
    <n v="97"/>
    <n v="172"/>
    <d v="2026-01-05T00:00:00"/>
    <n v="1"/>
    <s v="Site"/>
    <s v="Em transporte"/>
    <n v="453.6"/>
    <n v="0.05"/>
    <n v="453.6"/>
    <n v="430.92"/>
    <s v="Headset "/>
    <s v="Eletrônicos"/>
    <x v="2"/>
  </r>
  <r>
    <n v="1005"/>
    <n v="51"/>
    <n v="161"/>
    <d v="2026-01-07T00:00:00"/>
    <n v="1"/>
    <s v="Site"/>
    <s v="Entregue"/>
    <n v="3780"/>
    <n v="0"/>
    <n v="3780"/>
    <n v="3780"/>
    <s v="Notebook "/>
    <s v="Informática"/>
    <x v="3"/>
  </r>
  <r>
    <n v="1006"/>
    <n v="44"/>
    <n v="121"/>
    <d v="2026-01-08T00:00:00"/>
    <n v="1"/>
    <s v="Loja Física"/>
    <s v="Em transporte"/>
    <n v="260"/>
    <n v="0"/>
    <n v="260"/>
    <n v="260"/>
    <s v="Estabilizador"/>
    <s v="Informática"/>
    <x v="4"/>
  </r>
  <r>
    <n v="1007"/>
    <n v="24"/>
    <n v="183"/>
    <d v="2026-01-10T00:00:00"/>
    <n v="1"/>
    <s v="Site"/>
    <s v="Entregue"/>
    <n v="1566"/>
    <n v="0.1"/>
    <n v="1566"/>
    <n v="1409.4"/>
    <s v="Cadeira Gamer "/>
    <s v="Móveis"/>
    <x v="0"/>
  </r>
  <r>
    <n v="1008"/>
    <n v="79"/>
    <n v="187"/>
    <d v="2026-01-11T00:00:00"/>
    <n v="1"/>
    <s v="Loja Física"/>
    <s v="Entregue"/>
    <n v="75.599999999999994"/>
    <n v="0.1"/>
    <n v="75.599999999999994"/>
    <n v="68.040000000000006"/>
    <s v="Pen Drive "/>
    <s v="Informática"/>
    <x v="5"/>
  </r>
  <r>
    <n v="1009"/>
    <n v="59"/>
    <n v="175"/>
    <d v="2026-01-13T00:00:00"/>
    <n v="1"/>
    <s v="Site"/>
    <s v="Em transporte"/>
    <n v="540"/>
    <n v="0"/>
    <n v="540"/>
    <n v="540"/>
    <s v="SSD "/>
    <s v="Informática"/>
    <x v="4"/>
  </r>
  <r>
    <n v="1010"/>
    <n v="32"/>
    <n v="175"/>
    <d v="2026-01-14T00:00:00"/>
    <n v="3"/>
    <s v="Loja Física"/>
    <s v="Em transporte"/>
    <n v="540"/>
    <n v="0"/>
    <n v="1620"/>
    <n v="1620"/>
    <s v="SSD "/>
    <s v="Informática"/>
    <x v="1"/>
  </r>
  <r>
    <n v="1011"/>
    <n v="96"/>
    <n v="188"/>
    <d v="2026-01-16T00:00:00"/>
    <n v="1"/>
    <s v="Site"/>
    <s v="Em transporte"/>
    <n v="118.8"/>
    <n v="0.05"/>
    <n v="118.8"/>
    <n v="112.86"/>
    <s v="Carregador "/>
    <s v="Eletrônicos"/>
    <x v="3"/>
  </r>
  <r>
    <n v="1012"/>
    <n v="88"/>
    <n v="200"/>
    <d v="2026-01-17T00:00:00"/>
    <n v="2"/>
    <s v="Loja Física"/>
    <s v="Cancelado"/>
    <n v="179.2"/>
    <n v="0"/>
    <n v="358.4"/>
    <n v="358.4"/>
    <s v="Mochila "/>
    <s v="Acessórios"/>
    <x v="6"/>
  </r>
  <r>
    <n v="1013"/>
    <n v="52"/>
    <n v="124"/>
    <d v="2026-01-19T00:00:00"/>
    <n v="1"/>
    <s v="Marketplace"/>
    <s v="Entregue"/>
    <n v="1300"/>
    <n v="0"/>
    <n v="1300"/>
    <n v="1300"/>
    <s v="Armário"/>
    <s v="Móveis"/>
    <x v="2"/>
  </r>
  <r>
    <n v="1014"/>
    <n v="62"/>
    <n v="103"/>
    <d v="2026-01-20T00:00:00"/>
    <n v="4"/>
    <s v="Loja Física"/>
    <s v="Entregue"/>
    <n v="180"/>
    <n v="0"/>
    <n v="720"/>
    <n v="720"/>
    <s v="Teclado"/>
    <s v="Informática"/>
    <x v="1"/>
  </r>
  <r>
    <n v="1015"/>
    <n v="58"/>
    <n v="122"/>
    <d v="2026-01-22T00:00:00"/>
    <n v="1"/>
    <s v="Site"/>
    <s v="Em transporte"/>
    <n v="700"/>
    <n v="0.05"/>
    <n v="700"/>
    <n v="665"/>
    <s v="Nobreak"/>
    <s v="Informática"/>
    <x v="6"/>
  </r>
  <r>
    <n v="1016"/>
    <n v="52"/>
    <n v="153"/>
    <d v="2026-01-23T00:00:00"/>
    <n v="1"/>
    <s v="Marketplace"/>
    <s v="Entregue"/>
    <n v="1508"/>
    <n v="0.05"/>
    <n v="1508"/>
    <n v="1432.6"/>
    <s v="Cadeira Gamer "/>
    <s v="Móveis"/>
    <x v="2"/>
  </r>
  <r>
    <n v="1017"/>
    <n v="12"/>
    <n v="102"/>
    <d v="2026-01-25T00:00:00"/>
    <n v="4"/>
    <s v="Loja Física"/>
    <s v="Em transporte"/>
    <n v="1200"/>
    <n v="0"/>
    <n v="4800"/>
    <n v="4800"/>
    <s v="Monitor"/>
    <s v="Informática"/>
    <x v="7"/>
  </r>
  <r>
    <n v="1018"/>
    <n v="39"/>
    <n v="188"/>
    <d v="2026-01-26T00:00:00"/>
    <n v="3"/>
    <s v="Marketplace"/>
    <s v="Em transporte"/>
    <n v="118.8"/>
    <n v="0"/>
    <n v="356.4"/>
    <n v="356.4"/>
    <s v="Carregador "/>
    <s v="Eletrônicos"/>
    <x v="0"/>
  </r>
  <r>
    <n v="1019"/>
    <n v="2"/>
    <n v="130"/>
    <d v="2026-01-28T00:00:00"/>
    <n v="3"/>
    <s v="Marketplace"/>
    <s v="Em transporte"/>
    <n v="600"/>
    <n v="0"/>
    <n v="1800"/>
    <n v="1800"/>
    <s v="Mesa Digitalizadora"/>
    <s v="Informática"/>
    <x v="1"/>
  </r>
  <r>
    <n v="1020"/>
    <n v="3"/>
    <n v="138"/>
    <d v="2026-01-29T00:00:00"/>
    <n v="1"/>
    <s v="Marketplace"/>
    <s v="Entregue"/>
    <n v="2288"/>
    <n v="0.05"/>
    <n v="2288"/>
    <n v="2173.6"/>
    <s v="Smartphone "/>
    <s v="Eletrônicos"/>
    <x v="8"/>
  </r>
  <r>
    <n v="1021"/>
    <n v="56"/>
    <n v="102"/>
    <d v="2026-01-31T00:00:00"/>
    <n v="1"/>
    <s v="Site"/>
    <s v="Entregue"/>
    <n v="1200"/>
    <n v="0"/>
    <n v="1200"/>
    <n v="1200"/>
    <s v="Monitor"/>
    <s v="Informática"/>
    <x v="9"/>
  </r>
  <r>
    <n v="1022"/>
    <n v="81"/>
    <n v="164"/>
    <d v="2026-02-01T00:00:00"/>
    <n v="2"/>
    <s v="Marketplace"/>
    <s v="Entregue"/>
    <n v="97.2"/>
    <n v="0"/>
    <n v="194.4"/>
    <n v="194.4"/>
    <s v="Mouse "/>
    <s v="Informática"/>
    <x v="3"/>
  </r>
  <r>
    <n v="1023"/>
    <n v="59"/>
    <n v="160"/>
    <d v="2026-02-03T00:00:00"/>
    <n v="3"/>
    <s v="Marketplace"/>
    <s v="Entregue"/>
    <n v="624"/>
    <n v="0.05"/>
    <n v="1872"/>
    <n v="1778.4"/>
    <s v="Mesa Digitalizadora "/>
    <s v="Informática"/>
    <x v="4"/>
  </r>
  <r>
    <n v="1024"/>
    <n v="2"/>
    <n v="121"/>
    <d v="2026-02-04T00:00:00"/>
    <n v="2"/>
    <s v="Loja Física"/>
    <s v="Entregue"/>
    <n v="260"/>
    <n v="0"/>
    <n v="520"/>
    <n v="520"/>
    <s v="Estabilizador"/>
    <s v="Informática"/>
    <x v="1"/>
  </r>
  <r>
    <n v="1025"/>
    <n v="2"/>
    <n v="133"/>
    <d v="2026-02-06T00:00:00"/>
    <n v="2"/>
    <s v="Site"/>
    <s v="Entregue"/>
    <n v="187.2"/>
    <n v="0.05"/>
    <n v="374.4"/>
    <n v="355.68"/>
    <s v="Teclado "/>
    <s v="Informática"/>
    <x v="1"/>
  </r>
  <r>
    <n v="1026"/>
    <n v="92"/>
    <n v="176"/>
    <d v="2026-02-07T00:00:00"/>
    <n v="1"/>
    <s v="Site"/>
    <s v="Entregue"/>
    <n v="378"/>
    <n v="0"/>
    <n v="378"/>
    <n v="378"/>
    <s v="Teclado Mecânico "/>
    <s v="Informática"/>
    <x v="1"/>
  </r>
  <r>
    <n v="1027"/>
    <n v="54"/>
    <n v="158"/>
    <d v="2026-02-09T00:00:00"/>
    <n v="2"/>
    <s v="Loja Física"/>
    <s v="Entregue"/>
    <n v="114.4"/>
    <n v="0"/>
    <n v="228.8"/>
    <n v="228.8"/>
    <s v="Carregador "/>
    <s v="Eletrônicos"/>
    <x v="0"/>
  </r>
  <r>
    <n v="1028"/>
    <n v="87"/>
    <n v="122"/>
    <d v="2026-02-10T00:00:00"/>
    <n v="1"/>
    <s v="Loja Física"/>
    <s v="Entregue"/>
    <n v="700"/>
    <n v="0"/>
    <n v="700"/>
    <n v="700"/>
    <s v="Nobreak"/>
    <s v="Informática"/>
    <x v="7"/>
  </r>
  <r>
    <n v="1029"/>
    <n v="96"/>
    <n v="189"/>
    <d v="2026-02-12T00:00:00"/>
    <n v="1"/>
    <s v="Site"/>
    <s v="Entregue"/>
    <n v="702"/>
    <n v="0.05"/>
    <n v="702"/>
    <n v="666.9"/>
    <s v="Smartwatch "/>
    <s v="Eletrônicos"/>
    <x v="3"/>
  </r>
  <r>
    <n v="1030"/>
    <n v="97"/>
    <n v="149"/>
    <d v="2026-02-13T00:00:00"/>
    <n v="1"/>
    <s v="Marketplace"/>
    <s v="Entregue"/>
    <n v="312"/>
    <n v="0.1"/>
    <n v="312"/>
    <n v="280.8"/>
    <s v="Caixa de Som "/>
    <s v="Eletrônicos"/>
    <x v="2"/>
  </r>
  <r>
    <n v="1031"/>
    <n v="1"/>
    <n v="191"/>
    <d v="2026-02-15T00:00:00"/>
    <n v="2"/>
    <s v="Site"/>
    <s v="Em transporte"/>
    <n v="3920"/>
    <n v="0.1"/>
    <n v="7840"/>
    <n v="7056"/>
    <s v="Notebook "/>
    <s v="Informática"/>
    <x v="10"/>
  </r>
  <r>
    <n v="1032"/>
    <n v="19"/>
    <n v="159"/>
    <d v="2026-02-16T00:00:00"/>
    <n v="1"/>
    <s v="Site"/>
    <s v="Entregue"/>
    <n v="676"/>
    <n v="0"/>
    <n v="676"/>
    <n v="676"/>
    <s v="Smartwatch "/>
    <s v="Eletrônicos"/>
    <x v="5"/>
  </r>
  <r>
    <n v="1033"/>
    <n v="2"/>
    <n v="142"/>
    <d v="2026-02-18T00:00:00"/>
    <n v="1"/>
    <s v="Site"/>
    <s v="Entregue"/>
    <n v="436.8"/>
    <n v="0.05"/>
    <n v="436.8"/>
    <n v="414.96"/>
    <s v="Headset "/>
    <s v="Eletrônicos"/>
    <x v="1"/>
  </r>
  <r>
    <n v="1034"/>
    <n v="53"/>
    <n v="192"/>
    <d v="2026-02-19T00:00:00"/>
    <n v="2"/>
    <s v="Site"/>
    <s v="Entregue"/>
    <n v="1344"/>
    <n v="0"/>
    <n v="2688"/>
    <n v="2688"/>
    <s v="Monitor "/>
    <s v="Informática"/>
    <x v="11"/>
  </r>
  <r>
    <n v="1035"/>
    <n v="44"/>
    <n v="160"/>
    <d v="2026-02-21T00:00:00"/>
    <n v="1"/>
    <s v="Marketplace"/>
    <s v="Em transporte"/>
    <n v="624"/>
    <n v="0"/>
    <n v="624"/>
    <n v="624"/>
    <s v="Mesa Digitalizadora "/>
    <s v="Informática"/>
    <x v="4"/>
  </r>
  <r>
    <n v="1036"/>
    <n v="90"/>
    <n v="180"/>
    <d v="2026-02-22T00:00:00"/>
    <n v="2"/>
    <s v="Site"/>
    <s v="Entregue"/>
    <n v="302.39999999999998"/>
    <n v="0.1"/>
    <n v="604.79999999999995"/>
    <n v="544.32000000000005"/>
    <s v="Roteador "/>
    <s v="Informática"/>
    <x v="12"/>
  </r>
  <r>
    <n v="1037"/>
    <n v="32"/>
    <n v="115"/>
    <d v="2026-02-24T00:00:00"/>
    <n v="1"/>
    <s v="Loja Física"/>
    <s v="Entregue"/>
    <n v="500"/>
    <n v="0"/>
    <n v="500"/>
    <n v="500"/>
    <s v="SSD"/>
    <s v="Informática"/>
    <x v="1"/>
  </r>
  <r>
    <n v="1038"/>
    <n v="70"/>
    <n v="162"/>
    <d v="2026-02-25T00:00:00"/>
    <n v="1"/>
    <s v="Loja Física"/>
    <s v="Entregue"/>
    <n v="1296"/>
    <n v="0"/>
    <n v="1296"/>
    <n v="1296"/>
    <s v="Monitor "/>
    <s v="Informática"/>
    <x v="13"/>
  </r>
  <r>
    <n v="1039"/>
    <n v="32"/>
    <n v="162"/>
    <d v="2026-02-27T00:00:00"/>
    <n v="2"/>
    <s v="Marketplace"/>
    <s v="Entregue"/>
    <n v="1296"/>
    <n v="0"/>
    <n v="2592"/>
    <n v="2592"/>
    <s v="Monitor "/>
    <s v="Informática"/>
    <x v="1"/>
  </r>
  <r>
    <n v="1040"/>
    <n v="68"/>
    <n v="147"/>
    <d v="2026-02-28T00:00:00"/>
    <n v="1"/>
    <s v="Marketplace"/>
    <s v="Entregue"/>
    <n v="83.2"/>
    <n v="0"/>
    <n v="83.2"/>
    <n v="83.2"/>
    <s v="Mousepad "/>
    <s v="Acessórios"/>
    <x v="11"/>
  </r>
  <r>
    <n v="1041"/>
    <n v="55"/>
    <n v="162"/>
    <d v="2026-03-02T00:00:00"/>
    <n v="1"/>
    <s v="Site"/>
    <s v="Entregue"/>
    <n v="1296"/>
    <n v="0"/>
    <n v="1296"/>
    <n v="1296"/>
    <s v="Monitor "/>
    <s v="Informática"/>
    <x v="13"/>
  </r>
  <r>
    <n v="1042"/>
    <n v="75"/>
    <n v="151"/>
    <d v="2026-03-03T00:00:00"/>
    <n v="1"/>
    <s v="Loja Física"/>
    <s v="Entregue"/>
    <n v="270.39999999999998"/>
    <n v="0.05"/>
    <n v="270.39999999999998"/>
    <n v="256.88"/>
    <s v="Estabilizador "/>
    <s v="Informática"/>
    <x v="12"/>
  </r>
  <r>
    <n v="1043"/>
    <n v="56"/>
    <n v="155"/>
    <d v="2026-03-05T00:00:00"/>
    <n v="1"/>
    <s v="Marketplace"/>
    <s v="Em transporte"/>
    <n v="187.2"/>
    <n v="0"/>
    <n v="187.2"/>
    <n v="187.2"/>
    <s v="Luminária "/>
    <s v="Móveis"/>
    <x v="9"/>
  </r>
  <r>
    <n v="1044"/>
    <n v="17"/>
    <n v="164"/>
    <d v="2026-03-06T00:00:00"/>
    <n v="4"/>
    <s v="Site"/>
    <s v="Cancelado"/>
    <n v="97.2"/>
    <n v="0.1"/>
    <n v="388.8"/>
    <n v="349.92"/>
    <s v="Mouse "/>
    <s v="Informática"/>
    <x v="1"/>
  </r>
  <r>
    <n v="1045"/>
    <n v="38"/>
    <n v="103"/>
    <d v="2026-03-08T00:00:00"/>
    <n v="1"/>
    <s v="Loja Física"/>
    <s v="Entregue"/>
    <n v="180"/>
    <n v="0.1"/>
    <n v="180"/>
    <n v="162"/>
    <s v="Teclado"/>
    <s v="Informática"/>
    <x v="11"/>
  </r>
  <r>
    <n v="1046"/>
    <n v="24"/>
    <n v="151"/>
    <d v="2026-03-09T00:00:00"/>
    <n v="3"/>
    <s v="Loja Física"/>
    <s v="Entregue"/>
    <n v="270.39999999999998"/>
    <n v="0"/>
    <n v="811.2"/>
    <n v="811.2"/>
    <s v="Estabilizador "/>
    <s v="Informática"/>
    <x v="0"/>
  </r>
  <r>
    <n v="1047"/>
    <n v="69"/>
    <n v="107"/>
    <d v="2026-03-11T00:00:00"/>
    <n v="1"/>
    <s v="Loja Física"/>
    <s v="Em transporte"/>
    <n v="250"/>
    <n v="0"/>
    <n v="250"/>
    <n v="250"/>
    <s v="Fone de Ouvido"/>
    <s v="Eletrônicos"/>
    <x v="0"/>
  </r>
  <r>
    <n v="1048"/>
    <n v="98"/>
    <n v="121"/>
    <d v="2026-03-12T00:00:00"/>
    <n v="2"/>
    <s v="Marketplace"/>
    <s v="Entregue"/>
    <n v="260"/>
    <n v="0"/>
    <n v="520"/>
    <n v="520"/>
    <s v="Estabilizador"/>
    <s v="Informática"/>
    <x v="11"/>
  </r>
  <r>
    <n v="1049"/>
    <n v="70"/>
    <n v="173"/>
    <d v="2026-03-14T00:00:00"/>
    <n v="2"/>
    <s v="Marketplace"/>
    <s v="Entregue"/>
    <n v="1944"/>
    <n v="0.05"/>
    <n v="3888"/>
    <n v="3693.6"/>
    <s v="Tablet "/>
    <s v="Eletrônicos"/>
    <x v="13"/>
  </r>
  <r>
    <n v="1050"/>
    <n v="86"/>
    <n v="139"/>
    <d v="2026-03-15T00:00:00"/>
    <n v="2"/>
    <s v="Site"/>
    <s v="Entregue"/>
    <n v="988"/>
    <n v="0"/>
    <n v="1976"/>
    <n v="1976"/>
    <s v="Impressora "/>
    <s v="Informática"/>
    <x v="9"/>
  </r>
  <r>
    <n v="1051"/>
    <n v="11"/>
    <n v="118"/>
    <d v="2026-03-17T00:00:00"/>
    <n v="1"/>
    <s v="Loja Física"/>
    <s v="Entregue"/>
    <n v="140"/>
    <n v="0.05"/>
    <n v="140"/>
    <n v="133"/>
    <s v="Suporte Notebook"/>
    <s v="Acessórios"/>
    <x v="9"/>
  </r>
  <r>
    <n v="1052"/>
    <n v="16"/>
    <n v="104"/>
    <d v="2026-03-18T00:00:00"/>
    <n v="1"/>
    <s v="Loja Física"/>
    <s v="Cancelado"/>
    <n v="90"/>
    <n v="0"/>
    <n v="90"/>
    <n v="90"/>
    <s v="Mouse"/>
    <s v="Informática"/>
    <x v="10"/>
  </r>
  <r>
    <n v="1053"/>
    <n v="97"/>
    <n v="189"/>
    <d v="2026-03-20T00:00:00"/>
    <n v="1"/>
    <s v="Site"/>
    <s v="Em transporte"/>
    <n v="702"/>
    <n v="0.05"/>
    <n v="702"/>
    <n v="666.9"/>
    <s v="Smartwatch "/>
    <s v="Eletrônicos"/>
    <x v="2"/>
  </r>
  <r>
    <n v="1054"/>
    <n v="73"/>
    <n v="160"/>
    <d v="2026-03-21T00:00:00"/>
    <n v="3"/>
    <s v="Site"/>
    <s v="Entregue"/>
    <n v="624"/>
    <n v="0"/>
    <n v="1872"/>
    <n v="1872"/>
    <s v="Mesa Digitalizadora "/>
    <s v="Informática"/>
    <x v="6"/>
  </r>
  <r>
    <n v="1055"/>
    <n v="59"/>
    <n v="114"/>
    <d v="2026-03-23T00:00:00"/>
    <n v="3"/>
    <s v="Site"/>
    <s v="Entregue"/>
    <n v="450"/>
    <n v="0"/>
    <n v="1350"/>
    <n v="1350"/>
    <s v="HD Externo"/>
    <s v="Informática"/>
    <x v="4"/>
  </r>
  <r>
    <n v="1056"/>
    <n v="70"/>
    <n v="109"/>
    <d v="2026-03-24T00:00:00"/>
    <n v="4"/>
    <s v="Loja Física"/>
    <s v="Entregue"/>
    <n v="950"/>
    <n v="0.1"/>
    <n v="3800"/>
    <n v="3420"/>
    <s v="Impressora"/>
    <s v="Informática"/>
    <x v="13"/>
  </r>
  <r>
    <n v="1057"/>
    <n v="80"/>
    <n v="190"/>
    <d v="2026-03-26T00:00:00"/>
    <n v="1"/>
    <s v="Loja Física"/>
    <s v="Entregue"/>
    <n v="648"/>
    <n v="0.05"/>
    <n v="648"/>
    <n v="615.6"/>
    <s v="Mesa Digitalizadora "/>
    <s v="Informática"/>
    <x v="14"/>
  </r>
  <r>
    <n v="1058"/>
    <n v="93"/>
    <n v="153"/>
    <d v="2026-03-27T00:00:00"/>
    <n v="2"/>
    <s v="Site"/>
    <s v="Entregue"/>
    <n v="1508"/>
    <n v="0"/>
    <n v="3016"/>
    <n v="3016"/>
    <s v="Cadeira Gamer "/>
    <s v="Móveis"/>
    <x v="8"/>
  </r>
  <r>
    <n v="1059"/>
    <n v="3"/>
    <n v="102"/>
    <d v="2026-03-29T00:00:00"/>
    <n v="3"/>
    <s v="Marketplace"/>
    <s v="Entregue"/>
    <n v="1200"/>
    <n v="0.1"/>
    <n v="3600"/>
    <n v="3240"/>
    <s v="Monitor"/>
    <s v="Informática"/>
    <x v="8"/>
  </r>
  <r>
    <n v="1060"/>
    <n v="20"/>
    <n v="184"/>
    <d v="2026-03-30T00:00:00"/>
    <n v="1"/>
    <s v="Site"/>
    <s v="Em transporte"/>
    <n v="1404"/>
    <n v="0"/>
    <n v="1404"/>
    <n v="1404"/>
    <s v="Armário "/>
    <s v="Móveis"/>
    <x v="14"/>
  </r>
  <r>
    <n v="1061"/>
    <n v="59"/>
    <n v="192"/>
    <d v="2026-04-01T00:00:00"/>
    <n v="1"/>
    <s v="Loja Física"/>
    <s v="Entregue"/>
    <n v="1344"/>
    <n v="0.1"/>
    <n v="1344"/>
    <n v="1209.5999999999999"/>
    <s v="Monitor "/>
    <s v="Informática"/>
    <x v="4"/>
  </r>
  <r>
    <n v="1062"/>
    <n v="36"/>
    <n v="160"/>
    <d v="2026-04-02T00:00:00"/>
    <n v="2"/>
    <s v="Loja Física"/>
    <s v="Entregue"/>
    <n v="624"/>
    <n v="0.05"/>
    <n v="1248"/>
    <n v="1185.5999999999999"/>
    <s v="Mesa Digitalizadora "/>
    <s v="Informática"/>
    <x v="3"/>
  </r>
  <r>
    <n v="1063"/>
    <n v="19"/>
    <n v="171"/>
    <d v="2026-04-04T00:00:00"/>
    <n v="2"/>
    <s v="Loja Física"/>
    <s v="Cancelado"/>
    <n v="345.6"/>
    <n v="0"/>
    <n v="691.2"/>
    <n v="691.2"/>
    <s v="Webcam "/>
    <s v="Informática"/>
    <x v="5"/>
  </r>
  <r>
    <n v="1064"/>
    <n v="90"/>
    <n v="144"/>
    <d v="2026-04-05T00:00:00"/>
    <n v="3"/>
    <s v="Site"/>
    <s v="Em transporte"/>
    <n v="468"/>
    <n v="0"/>
    <n v="1404"/>
    <n v="1404"/>
    <s v="HD Externo "/>
    <s v="Informática"/>
    <x v="12"/>
  </r>
  <r>
    <n v="1065"/>
    <n v="67"/>
    <n v="108"/>
    <d v="2026-04-07T00:00:00"/>
    <n v="1"/>
    <s v="Site"/>
    <s v="Entregue"/>
    <n v="2200"/>
    <n v="0"/>
    <n v="2200"/>
    <n v="2200"/>
    <s v="Smartphone"/>
    <s v="Eletrônicos"/>
    <x v="2"/>
  </r>
  <r>
    <n v="1066"/>
    <n v="19"/>
    <n v="147"/>
    <d v="2026-04-08T00:00:00"/>
    <n v="2"/>
    <s v="Site"/>
    <s v="Entregue"/>
    <n v="83.2"/>
    <n v="0"/>
    <n v="166.4"/>
    <n v="166.4"/>
    <s v="Mousepad "/>
    <s v="Acessórios"/>
    <x v="5"/>
  </r>
  <r>
    <n v="1067"/>
    <n v="20"/>
    <n v="135"/>
    <d v="2026-04-10T00:00:00"/>
    <n v="1"/>
    <s v="Site"/>
    <s v="Entregue"/>
    <n v="884"/>
    <n v="0.05"/>
    <n v="884"/>
    <n v="839.8"/>
    <s v="Cadeira Escritório "/>
    <s v="Móveis"/>
    <x v="14"/>
  </r>
  <r>
    <n v="1068"/>
    <n v="96"/>
    <n v="178"/>
    <d v="2026-04-11T00:00:00"/>
    <n v="1"/>
    <s v="Loja Física"/>
    <s v="Entregue"/>
    <n v="151.19999999999999"/>
    <n v="0"/>
    <n v="151.19999999999999"/>
    <n v="151.19999999999999"/>
    <s v="Suporte Notebook "/>
    <s v="Acessórios"/>
    <x v="3"/>
  </r>
  <r>
    <n v="1069"/>
    <n v="71"/>
    <n v="181"/>
    <d v="2026-04-13T00:00:00"/>
    <n v="1"/>
    <s v="Loja Física"/>
    <s v="Entregue"/>
    <n v="280.8"/>
    <n v="0"/>
    <n v="280.8"/>
    <n v="280.8"/>
    <s v="Estabilizador "/>
    <s v="Informática"/>
    <x v="9"/>
  </r>
  <r>
    <n v="1070"/>
    <n v="52"/>
    <n v="136"/>
    <d v="2026-04-14T00:00:00"/>
    <n v="3"/>
    <s v="Loja Física"/>
    <s v="Em transporte"/>
    <n v="1144"/>
    <n v="0.1"/>
    <n v="3432"/>
    <n v="3088.8"/>
    <s v="Mesa Escritório "/>
    <s v="Móveis"/>
    <x v="2"/>
  </r>
  <r>
    <n v="1071"/>
    <n v="33"/>
    <n v="150"/>
    <d v="2026-04-16T00:00:00"/>
    <n v="2"/>
    <s v="Loja Física"/>
    <s v="Entregue"/>
    <n v="291.2"/>
    <n v="0.15"/>
    <n v="582.4"/>
    <n v="495.04"/>
    <s v="Roteador "/>
    <s v="Informática"/>
    <x v="8"/>
  </r>
  <r>
    <n v="1072"/>
    <n v="40"/>
    <n v="104"/>
    <d v="2026-04-17T00:00:00"/>
    <n v="2"/>
    <s v="Marketplace"/>
    <s v="Entregue"/>
    <n v="90"/>
    <n v="0"/>
    <n v="180"/>
    <n v="180"/>
    <s v="Mouse"/>
    <s v="Informática"/>
    <x v="13"/>
  </r>
  <r>
    <n v="1073"/>
    <n v="39"/>
    <n v="102"/>
    <d v="2026-04-19T00:00:00"/>
    <n v="1"/>
    <s v="Marketplace"/>
    <s v="Entregue"/>
    <n v="1200"/>
    <n v="0"/>
    <n v="1200"/>
    <n v="1200"/>
    <s v="Monitor"/>
    <s v="Informática"/>
    <x v="0"/>
  </r>
  <r>
    <n v="1074"/>
    <n v="82"/>
    <n v="106"/>
    <d v="2026-04-20T00:00:00"/>
    <n v="3"/>
    <s v="Loja Física"/>
    <s v="Entregue"/>
    <n v="1100"/>
    <n v="0"/>
    <n v="3300"/>
    <n v="3300"/>
    <s v="Mesa Escritório"/>
    <s v="Móveis"/>
    <x v="2"/>
  </r>
  <r>
    <n v="1075"/>
    <n v="1"/>
    <n v="154"/>
    <d v="2026-04-22T00:00:00"/>
    <n v="1"/>
    <s v="Loja Física"/>
    <s v="Em transporte"/>
    <n v="1352"/>
    <n v="0"/>
    <n v="1352"/>
    <n v="1352"/>
    <s v="Armário "/>
    <s v="Móveis"/>
    <x v="10"/>
  </r>
  <r>
    <n v="1076"/>
    <n v="11"/>
    <n v="104"/>
    <d v="2026-04-23T00:00:00"/>
    <n v="3"/>
    <s v="Site"/>
    <s v="Em transporte"/>
    <n v="90"/>
    <n v="0.1"/>
    <n v="270"/>
    <n v="243"/>
    <s v="Mouse"/>
    <s v="Informática"/>
    <x v="9"/>
  </r>
  <r>
    <n v="1077"/>
    <n v="92"/>
    <n v="154"/>
    <d v="2026-04-25T00:00:00"/>
    <n v="1"/>
    <s v="Site"/>
    <s v="Entregue"/>
    <n v="1352"/>
    <n v="0"/>
    <n v="1352"/>
    <n v="1352"/>
    <s v="Armário "/>
    <s v="Móveis"/>
    <x v="1"/>
  </r>
  <r>
    <n v="1078"/>
    <n v="57"/>
    <n v="193"/>
    <d v="2026-04-26T00:00:00"/>
    <n v="1"/>
    <s v="Site"/>
    <s v="Entregue"/>
    <n v="201.6"/>
    <n v="0.05"/>
    <n v="201.6"/>
    <n v="191.52"/>
    <s v="Teclado "/>
    <s v="Informática"/>
    <x v="7"/>
  </r>
  <r>
    <n v="1079"/>
    <n v="89"/>
    <n v="163"/>
    <d v="2026-04-28T00:00:00"/>
    <n v="1"/>
    <s v="Loja Física"/>
    <s v="Entregue"/>
    <n v="194.4"/>
    <n v="0"/>
    <n v="194.4"/>
    <n v="194.4"/>
    <s v="Teclado "/>
    <s v="Informática"/>
    <x v="4"/>
  </r>
  <r>
    <n v="1080"/>
    <n v="50"/>
    <n v="118"/>
    <d v="2026-04-29T00:00:00"/>
    <n v="1"/>
    <s v="Marketplace"/>
    <s v="Entregue"/>
    <n v="140"/>
    <n v="0.05"/>
    <n v="140"/>
    <n v="133"/>
    <s v="Suporte Notebook"/>
    <s v="Acessórios"/>
    <x v="14"/>
  </r>
  <r>
    <n v="1081"/>
    <n v="23"/>
    <n v="190"/>
    <d v="2026-05-01T00:00:00"/>
    <n v="2"/>
    <s v="Site"/>
    <s v="Entregue"/>
    <n v="648"/>
    <n v="0.05"/>
    <n v="1296"/>
    <n v="1231.2"/>
    <s v="Mesa Digitalizadora "/>
    <s v="Informática"/>
    <x v="11"/>
  </r>
  <r>
    <n v="1082"/>
    <n v="31"/>
    <n v="144"/>
    <d v="2026-05-02T00:00:00"/>
    <n v="2"/>
    <s v="Marketplace"/>
    <s v="Entregue"/>
    <n v="468"/>
    <n v="0.1"/>
    <n v="936"/>
    <n v="842.4"/>
    <s v="HD Externo "/>
    <s v="Informática"/>
    <x v="10"/>
  </r>
  <r>
    <n v="1083"/>
    <n v="94"/>
    <n v="134"/>
    <d v="2026-05-04T00:00:00"/>
    <n v="1"/>
    <s v="Marketplace"/>
    <s v="Entregue"/>
    <n v="93.6"/>
    <n v="0"/>
    <n v="93.6"/>
    <n v="93.6"/>
    <s v="Mouse "/>
    <s v="Informática"/>
    <x v="5"/>
  </r>
  <r>
    <n v="1084"/>
    <n v="42"/>
    <n v="174"/>
    <d v="2026-05-05T00:00:00"/>
    <n v="3"/>
    <s v="Site"/>
    <s v="Entregue"/>
    <n v="486"/>
    <n v="0"/>
    <n v="1458"/>
    <n v="1458"/>
    <s v="HD Externo "/>
    <s v="Informática"/>
    <x v="7"/>
  </r>
  <r>
    <n v="1085"/>
    <n v="99"/>
    <n v="162"/>
    <d v="2026-05-07T00:00:00"/>
    <n v="1"/>
    <s v="Site"/>
    <s v="Entregue"/>
    <n v="1296"/>
    <n v="0"/>
    <n v="1296"/>
    <n v="1296"/>
    <s v="Monitor "/>
    <s v="Informática"/>
    <x v="0"/>
  </r>
  <r>
    <n v="1086"/>
    <n v="7"/>
    <n v="200"/>
    <d v="2026-05-08T00:00:00"/>
    <n v="2"/>
    <s v="Marketplace"/>
    <s v="Entregue"/>
    <n v="179.2"/>
    <n v="0.1"/>
    <n v="358.4"/>
    <n v="322.56"/>
    <s v="Mochila "/>
    <s v="Acessórios"/>
    <x v="2"/>
  </r>
  <r>
    <n v="1087"/>
    <n v="16"/>
    <n v="114"/>
    <d v="2026-05-10T00:00:00"/>
    <n v="3"/>
    <s v="Marketplace"/>
    <s v="Entregue"/>
    <n v="450"/>
    <n v="0.1"/>
    <n v="1350"/>
    <n v="1215"/>
    <s v="HD Externo"/>
    <s v="Informática"/>
    <x v="10"/>
  </r>
  <r>
    <n v="1088"/>
    <n v="90"/>
    <n v="195"/>
    <d v="2026-05-11T00:00:00"/>
    <n v="2"/>
    <s v="Marketplace"/>
    <s v="Entregue"/>
    <n v="952"/>
    <n v="0.05"/>
    <n v="1904"/>
    <n v="1808.8"/>
    <s v="Cadeira Escritório "/>
    <s v="Móveis"/>
    <x v="12"/>
  </r>
  <r>
    <n v="1089"/>
    <n v="60"/>
    <n v="148"/>
    <d v="2026-05-13T00:00:00"/>
    <n v="1"/>
    <s v="Marketplace"/>
    <s v="Entregue"/>
    <n v="145.6"/>
    <n v="0.05"/>
    <n v="145.6"/>
    <n v="138.32"/>
    <s v="Suporte Notebook "/>
    <s v="Acessórios"/>
    <x v="12"/>
  </r>
  <r>
    <n v="1090"/>
    <n v="2"/>
    <n v="115"/>
    <d v="2026-05-14T00:00:00"/>
    <n v="3"/>
    <s v="Loja Física"/>
    <s v="Em transporte"/>
    <n v="500"/>
    <n v="0.05"/>
    <n v="1500"/>
    <n v="1425"/>
    <s v="SSD"/>
    <s v="Informática"/>
    <x v="1"/>
  </r>
  <r>
    <n v="1091"/>
    <n v="1"/>
    <n v="172"/>
    <d v="2026-05-16T00:00:00"/>
    <n v="2"/>
    <s v="Marketplace"/>
    <s v="Entregue"/>
    <n v="453.6"/>
    <n v="0"/>
    <n v="907.2"/>
    <n v="907.2"/>
    <s v="Headset "/>
    <s v="Eletrônicos"/>
    <x v="10"/>
  </r>
  <r>
    <n v="1092"/>
    <n v="48"/>
    <n v="178"/>
    <d v="2026-05-17T00:00:00"/>
    <n v="1"/>
    <s v="Marketplace"/>
    <s v="Entregue"/>
    <n v="151.19999999999999"/>
    <n v="0.1"/>
    <n v="151.19999999999999"/>
    <n v="136.08000000000001"/>
    <s v="Suporte Notebook "/>
    <s v="Acessórios"/>
    <x v="8"/>
  </r>
  <r>
    <n v="1093"/>
    <n v="12"/>
    <n v="187"/>
    <d v="2026-05-19T00:00:00"/>
    <n v="1"/>
    <s v="Loja Física"/>
    <s v="Entregue"/>
    <n v="75.599999999999994"/>
    <n v="0"/>
    <n v="75.599999999999994"/>
    <n v="75.599999999999994"/>
    <s v="Pen Drive "/>
    <s v="Informática"/>
    <x v="7"/>
  </r>
  <r>
    <n v="1094"/>
    <n v="69"/>
    <n v="162"/>
    <d v="2026-05-20T00:00:00"/>
    <n v="2"/>
    <s v="Site"/>
    <s v="Entregue"/>
    <n v="1296"/>
    <n v="0"/>
    <n v="2592"/>
    <n v="2592"/>
    <s v="Monitor "/>
    <s v="Informática"/>
    <x v="0"/>
  </r>
  <r>
    <n v="1095"/>
    <n v="37"/>
    <n v="140"/>
    <d v="2026-05-22T00:00:00"/>
    <n v="2"/>
    <s v="Site"/>
    <s v="Entregue"/>
    <n v="166.4"/>
    <n v="0"/>
    <n v="332.8"/>
    <n v="332.8"/>
    <s v="Mochila "/>
    <s v="Acessórios"/>
    <x v="2"/>
  </r>
  <r>
    <n v="1096"/>
    <n v="32"/>
    <n v="185"/>
    <d v="2026-05-23T00:00:00"/>
    <n v="2"/>
    <s v="Site"/>
    <s v="Entregue"/>
    <n v="194.4"/>
    <n v="0"/>
    <n v="388.8"/>
    <n v="388.8"/>
    <s v="Luminária "/>
    <s v="Móveis"/>
    <x v="1"/>
  </r>
  <r>
    <n v="1097"/>
    <n v="9"/>
    <n v="180"/>
    <d v="2026-05-25T00:00:00"/>
    <n v="3"/>
    <s v="Marketplace"/>
    <s v="Cancelado"/>
    <n v="302.39999999999998"/>
    <n v="0"/>
    <n v="907.2"/>
    <n v="907.2"/>
    <s v="Roteador "/>
    <s v="Informática"/>
    <x v="0"/>
  </r>
  <r>
    <n v="1098"/>
    <n v="99"/>
    <n v="182"/>
    <d v="2026-05-26T00:00:00"/>
    <n v="2"/>
    <s v="Marketplace"/>
    <s v="Entregue"/>
    <n v="756"/>
    <n v="0.05"/>
    <n v="1512"/>
    <n v="1436.4"/>
    <s v="Nobreak "/>
    <s v="Informática"/>
    <x v="0"/>
  </r>
  <r>
    <n v="1099"/>
    <n v="19"/>
    <n v="153"/>
    <d v="2026-05-28T00:00:00"/>
    <n v="1"/>
    <s v="Marketplace"/>
    <s v="Entregue"/>
    <n v="1508"/>
    <n v="0"/>
    <n v="1508"/>
    <n v="1508"/>
    <s v="Cadeira Gamer "/>
    <s v="Móveis"/>
    <x v="5"/>
  </r>
  <r>
    <n v="1100"/>
    <n v="48"/>
    <n v="124"/>
    <d v="2026-05-29T00:00:00"/>
    <n v="1"/>
    <s v="Site"/>
    <s v="Entregue"/>
    <n v="1300"/>
    <n v="0.05"/>
    <n v="1300"/>
    <n v="1235"/>
    <s v="Armário"/>
    <s v="Móveis"/>
    <x v="8"/>
  </r>
  <r>
    <n v="1101"/>
    <n v="80"/>
    <n v="126"/>
    <d v="2026-05-31T00:00:00"/>
    <n v="1"/>
    <s v="Site"/>
    <s v="Entregue"/>
    <n v="120"/>
    <n v="0"/>
    <n v="120"/>
    <n v="120"/>
    <s v="Hub USB"/>
    <s v="Informática"/>
    <x v="14"/>
  </r>
  <r>
    <n v="1102"/>
    <n v="3"/>
    <n v="189"/>
    <d v="2026-06-01T00:00:00"/>
    <n v="2"/>
    <s v="Site"/>
    <s v="Entregue"/>
    <n v="702"/>
    <n v="0"/>
    <n v="1404"/>
    <n v="1404"/>
    <s v="Smartwatch "/>
    <s v="Eletrônicos"/>
    <x v="8"/>
  </r>
  <r>
    <n v="1103"/>
    <n v="20"/>
    <n v="160"/>
    <d v="2026-06-03T00:00:00"/>
    <n v="1"/>
    <s v="Site"/>
    <s v="Cancelado"/>
    <n v="624"/>
    <n v="0"/>
    <n v="624"/>
    <n v="624"/>
    <s v="Mesa Digitalizadora "/>
    <s v="Informática"/>
    <x v="14"/>
  </r>
  <r>
    <n v="1104"/>
    <n v="24"/>
    <n v="141"/>
    <d v="2026-06-04T00:00:00"/>
    <n v="2"/>
    <s v="Marketplace"/>
    <s v="Entregue"/>
    <n v="332.8"/>
    <n v="0"/>
    <n v="665.6"/>
    <n v="665.6"/>
    <s v="Webcam "/>
    <s v="Informática"/>
    <x v="0"/>
  </r>
  <r>
    <n v="1105"/>
    <n v="54"/>
    <n v="129"/>
    <d v="2026-06-06T00:00:00"/>
    <n v="2"/>
    <s v="Site"/>
    <s v="Cancelado"/>
    <n v="650"/>
    <n v="0.05"/>
    <n v="1300"/>
    <n v="1235"/>
    <s v="Smartwatch"/>
    <s v="Eletrônicos"/>
    <x v="0"/>
  </r>
  <r>
    <n v="1106"/>
    <n v="33"/>
    <n v="115"/>
    <d v="2026-06-07T00:00:00"/>
    <n v="3"/>
    <s v="Site"/>
    <s v="Cancelado"/>
    <n v="500"/>
    <n v="0"/>
    <n v="1500"/>
    <n v="1500"/>
    <s v="SSD"/>
    <s v="Informática"/>
    <x v="8"/>
  </r>
  <r>
    <n v="1107"/>
    <n v="24"/>
    <n v="145"/>
    <d v="2026-06-09T00:00:00"/>
    <n v="1"/>
    <s v="Loja Física"/>
    <s v="Entregue"/>
    <n v="520"/>
    <n v="0.05"/>
    <n v="520"/>
    <n v="494"/>
    <s v="SSD "/>
    <s v="Informática"/>
    <x v="0"/>
  </r>
  <r>
    <n v="1108"/>
    <n v="75"/>
    <n v="165"/>
    <d v="2026-06-10T00:00:00"/>
    <n v="3"/>
    <s v="Site"/>
    <s v="Entregue"/>
    <n v="918"/>
    <n v="0"/>
    <n v="2754"/>
    <n v="2754"/>
    <s v="Cadeira Escritório "/>
    <s v="Móveis"/>
    <x v="12"/>
  </r>
  <r>
    <n v="1109"/>
    <n v="72"/>
    <n v="189"/>
    <d v="2026-06-12T00:00:00"/>
    <n v="1"/>
    <s v="Marketplace"/>
    <s v="Entregue"/>
    <n v="702"/>
    <n v="0.05"/>
    <n v="702"/>
    <n v="666.9"/>
    <s v="Smartwatch "/>
    <s v="Eletrônicos"/>
    <x v="7"/>
  </r>
  <r>
    <n v="1110"/>
    <n v="36"/>
    <n v="171"/>
    <d v="2026-06-13T00:00:00"/>
    <n v="3"/>
    <s v="Marketplace"/>
    <s v="Entregue"/>
    <n v="345.6"/>
    <n v="0.1"/>
    <n v="1036.8"/>
    <n v="933.12"/>
    <s v="Webcam "/>
    <s v="Informática"/>
    <x v="3"/>
  </r>
  <r>
    <n v="1111"/>
    <n v="38"/>
    <n v="109"/>
    <d v="2026-06-15T00:00:00"/>
    <n v="1"/>
    <s v="Site"/>
    <s v="Entregue"/>
    <n v="950"/>
    <n v="0.05"/>
    <n v="950"/>
    <n v="902.5"/>
    <s v="Impressora"/>
    <s v="Informática"/>
    <x v="11"/>
  </r>
  <r>
    <n v="1112"/>
    <n v="84"/>
    <n v="188"/>
    <d v="2026-06-16T00:00:00"/>
    <n v="1"/>
    <s v="Marketplace"/>
    <s v="Entregue"/>
    <n v="118.8"/>
    <n v="0"/>
    <n v="118.8"/>
    <n v="118.8"/>
    <s v="Carregador "/>
    <s v="Eletrônicos"/>
    <x v="0"/>
  </r>
  <r>
    <n v="1113"/>
    <n v="99"/>
    <n v="101"/>
    <d v="2026-06-18T00:00:00"/>
    <n v="2"/>
    <s v="Loja Física"/>
    <s v="Entregue"/>
    <n v="3500"/>
    <n v="0"/>
    <n v="7000"/>
    <n v="7000"/>
    <s v="Notebook"/>
    <s v="Informática"/>
    <x v="0"/>
  </r>
  <r>
    <n v="1114"/>
    <n v="89"/>
    <n v="108"/>
    <d v="2026-06-19T00:00:00"/>
    <n v="1"/>
    <s v="Loja Física"/>
    <s v="Entregue"/>
    <n v="2200"/>
    <n v="0"/>
    <n v="2200"/>
    <n v="2200"/>
    <s v="Smartphone"/>
    <s v="Eletrônicos"/>
    <x v="4"/>
  </r>
  <r>
    <n v="1115"/>
    <n v="99"/>
    <n v="188"/>
    <d v="2026-06-21T00:00:00"/>
    <n v="1"/>
    <s v="Site"/>
    <s v="Em transporte"/>
    <n v="118.8"/>
    <n v="0.05"/>
    <n v="118.8"/>
    <n v="112.86"/>
    <s v="Carregador "/>
    <s v="Eletrônicos"/>
    <x v="0"/>
  </r>
  <r>
    <n v="1116"/>
    <n v="25"/>
    <n v="163"/>
    <d v="2026-06-22T00:00:00"/>
    <n v="2"/>
    <s v="Loja Física"/>
    <s v="Entregue"/>
    <n v="194.4"/>
    <n v="0"/>
    <n v="388.8"/>
    <n v="388.8"/>
    <s v="Teclado "/>
    <s v="Informática"/>
    <x v="13"/>
  </r>
  <r>
    <n v="1117"/>
    <n v="93"/>
    <n v="111"/>
    <d v="2026-06-24T00:00:00"/>
    <n v="2"/>
    <s v="Site"/>
    <s v="Em transporte"/>
    <n v="320"/>
    <n v="0"/>
    <n v="640"/>
    <n v="640"/>
    <s v="Webcam"/>
    <s v="Informática"/>
    <x v="8"/>
  </r>
  <r>
    <n v="1118"/>
    <n v="18"/>
    <n v="181"/>
    <d v="2026-06-25T00:00:00"/>
    <n v="2"/>
    <s v="Site"/>
    <s v="Entregue"/>
    <n v="280.8"/>
    <n v="0.05"/>
    <n v="561.6"/>
    <n v="533.52"/>
    <s v="Estabilizador "/>
    <s v="Informática"/>
    <x v="8"/>
  </r>
  <r>
    <n v="1119"/>
    <n v="82"/>
    <n v="108"/>
    <d v="2026-06-27T00:00:00"/>
    <n v="2"/>
    <s v="Site"/>
    <s v="Entregue"/>
    <n v="2200"/>
    <n v="0"/>
    <n v="4400"/>
    <n v="4400"/>
    <s v="Smartphone"/>
    <s v="Eletrônicos"/>
    <x v="2"/>
  </r>
  <r>
    <n v="1120"/>
    <n v="66"/>
    <n v="135"/>
    <d v="2026-06-28T00:00:00"/>
    <n v="2"/>
    <s v="Loja Física"/>
    <s v="Entregue"/>
    <n v="884"/>
    <n v="0.05"/>
    <n v="1768"/>
    <n v="1679.6"/>
    <s v="Cadeira Escritório "/>
    <s v="Móveis"/>
    <x v="3"/>
  </r>
  <r>
    <n v="1121"/>
    <n v="54"/>
    <n v="135"/>
    <d v="2026-06-30T00:00:00"/>
    <n v="1"/>
    <s v="Site"/>
    <s v="Entregue"/>
    <n v="884"/>
    <n v="0"/>
    <n v="884"/>
    <n v="884"/>
    <s v="Cadeira Escritório "/>
    <s v="Móveis"/>
    <x v="0"/>
  </r>
  <r>
    <n v="1122"/>
    <n v="35"/>
    <n v="133"/>
    <d v="2026-07-01T00:00:00"/>
    <n v="1"/>
    <s v="Site"/>
    <s v="Em transporte"/>
    <n v="187.2"/>
    <n v="0"/>
    <n v="187.2"/>
    <n v="187.2"/>
    <s v="Teclado "/>
    <s v="Informática"/>
    <x v="14"/>
  </r>
  <r>
    <n v="1123"/>
    <n v="80"/>
    <n v="105"/>
    <d v="2026-07-03T00:00:00"/>
    <n v="1"/>
    <s v="Marketplace"/>
    <s v="Em transporte"/>
    <n v="850"/>
    <n v="0.05"/>
    <n v="850"/>
    <n v="807.5"/>
    <s v="Cadeira Escritório"/>
    <s v="Móveis"/>
    <x v="14"/>
  </r>
  <r>
    <n v="1124"/>
    <n v="61"/>
    <n v="141"/>
    <d v="2026-07-04T00:00:00"/>
    <n v="3"/>
    <s v="Site"/>
    <s v="Em transporte"/>
    <n v="332.8"/>
    <n v="0"/>
    <n v="998.4"/>
    <n v="998.4"/>
    <s v="Webcam "/>
    <s v="Informática"/>
    <x v="10"/>
  </r>
  <r>
    <n v="1125"/>
    <n v="41"/>
    <n v="128"/>
    <d v="2026-07-06T00:00:00"/>
    <n v="2"/>
    <s v="Site"/>
    <s v="Entregue"/>
    <n v="110"/>
    <n v="0.05"/>
    <n v="220"/>
    <n v="209"/>
    <s v="Carregador"/>
    <s v="Eletrônicos"/>
    <x v="9"/>
  </r>
  <r>
    <n v="1126"/>
    <n v="100"/>
    <n v="107"/>
    <d v="2026-07-07T00:00:00"/>
    <n v="1"/>
    <s v="Site"/>
    <s v="Entregue"/>
    <n v="250"/>
    <n v="0"/>
    <n v="250"/>
    <n v="250"/>
    <s v="Fone de Ouvido"/>
    <s v="Eletrônicos"/>
    <x v="13"/>
  </r>
  <r>
    <n v="1127"/>
    <n v="33"/>
    <n v="173"/>
    <d v="2026-07-09T00:00:00"/>
    <n v="1"/>
    <s v="Site"/>
    <s v="Em transporte"/>
    <n v="1944"/>
    <n v="0"/>
    <n v="1944"/>
    <n v="1944"/>
    <s v="Tablet "/>
    <s v="Eletrônicos"/>
    <x v="8"/>
  </r>
  <r>
    <n v="1128"/>
    <n v="68"/>
    <n v="172"/>
    <d v="2026-07-10T00:00:00"/>
    <n v="3"/>
    <s v="Site"/>
    <s v="Em transporte"/>
    <n v="453.6"/>
    <n v="0.1"/>
    <n v="1360.8"/>
    <n v="1224.72"/>
    <s v="Headset "/>
    <s v="Eletrônicos"/>
    <x v="11"/>
  </r>
  <r>
    <n v="1129"/>
    <n v="33"/>
    <n v="112"/>
    <d v="2026-07-12T00:00:00"/>
    <n v="1"/>
    <s v="Site"/>
    <s v="Cancelado"/>
    <n v="420"/>
    <n v="0.05"/>
    <n v="420"/>
    <n v="399"/>
    <s v="Headset"/>
    <s v="Eletrônicos"/>
    <x v="8"/>
  </r>
  <r>
    <n v="1130"/>
    <n v="14"/>
    <n v="134"/>
    <d v="2026-07-13T00:00:00"/>
    <n v="2"/>
    <s v="Marketplace"/>
    <s v="Entregue"/>
    <n v="93.6"/>
    <n v="0.05"/>
    <n v="187.2"/>
    <n v="177.84"/>
    <s v="Mouse "/>
    <s v="Informática"/>
    <x v="4"/>
  </r>
  <r>
    <n v="1131"/>
    <n v="21"/>
    <n v="133"/>
    <d v="2026-07-15T00:00:00"/>
    <n v="2"/>
    <s v="Site"/>
    <s v="Entregue"/>
    <n v="187.2"/>
    <n v="0"/>
    <n v="374.4"/>
    <n v="374.4"/>
    <s v="Teclado "/>
    <s v="Informática"/>
    <x v="3"/>
  </r>
  <r>
    <n v="1132"/>
    <n v="48"/>
    <n v="148"/>
    <d v="2026-07-16T00:00:00"/>
    <n v="2"/>
    <s v="Site"/>
    <s v="Em transporte"/>
    <n v="145.6"/>
    <n v="0.05"/>
    <n v="291.2"/>
    <n v="276.64"/>
    <s v="Suporte Notebook "/>
    <s v="Acessórios"/>
    <x v="8"/>
  </r>
  <r>
    <n v="1133"/>
    <n v="20"/>
    <n v="123"/>
    <d v="2026-07-18T00:00:00"/>
    <n v="1"/>
    <s v="Loja Física"/>
    <s v="Entregue"/>
    <n v="1450"/>
    <n v="0"/>
    <n v="1450"/>
    <n v="1450"/>
    <s v="Cadeira Gamer"/>
    <s v="Móveis"/>
    <x v="14"/>
  </r>
  <r>
    <n v="1134"/>
    <n v="8"/>
    <n v="162"/>
    <d v="2026-07-19T00:00:00"/>
    <n v="3"/>
    <s v="Site"/>
    <s v="Cancelado"/>
    <n v="1296"/>
    <n v="0"/>
    <n v="3888"/>
    <n v="3888"/>
    <s v="Monitor "/>
    <s v="Informática"/>
    <x v="11"/>
  </r>
  <r>
    <n v="1135"/>
    <n v="7"/>
    <n v="188"/>
    <d v="2026-07-21T00:00:00"/>
    <n v="3"/>
    <s v="Marketplace"/>
    <s v="Em transporte"/>
    <n v="118.8"/>
    <n v="0.1"/>
    <n v="356.4"/>
    <n v="320.76"/>
    <s v="Carregador "/>
    <s v="Eletrônicos"/>
    <x v="2"/>
  </r>
  <r>
    <n v="1136"/>
    <n v="67"/>
    <n v="137"/>
    <d v="2026-07-22T00:00:00"/>
    <n v="2"/>
    <s v="Site"/>
    <s v="Entregue"/>
    <n v="260"/>
    <n v="0"/>
    <n v="520"/>
    <n v="520"/>
    <s v="Fone de Ouvido "/>
    <s v="Eletrônicos"/>
    <x v="2"/>
  </r>
  <r>
    <n v="1137"/>
    <n v="17"/>
    <n v="199"/>
    <d v="2026-07-24T00:00:00"/>
    <n v="2"/>
    <s v="Site"/>
    <s v="Em transporte"/>
    <n v="1064"/>
    <n v="0.15"/>
    <n v="2128"/>
    <n v="1808.8"/>
    <s v="Impressora "/>
    <s v="Informática"/>
    <x v="1"/>
  </r>
  <r>
    <n v="1138"/>
    <n v="33"/>
    <n v="144"/>
    <d v="2026-07-25T00:00:00"/>
    <n v="3"/>
    <s v="Site"/>
    <s v="Em transporte"/>
    <n v="468"/>
    <n v="0"/>
    <n v="1404"/>
    <n v="1404"/>
    <s v="HD Externo "/>
    <s v="Informática"/>
    <x v="8"/>
  </r>
  <r>
    <n v="1139"/>
    <n v="48"/>
    <n v="186"/>
    <d v="2026-07-27T00:00:00"/>
    <n v="2"/>
    <s v="Site"/>
    <s v="Entregue"/>
    <n v="129.6"/>
    <n v="0"/>
    <n v="259.2"/>
    <n v="259.2"/>
    <s v="Hub USB "/>
    <s v="Informática"/>
    <x v="8"/>
  </r>
  <r>
    <n v="1140"/>
    <n v="76"/>
    <n v="191"/>
    <d v="2026-07-28T00:00:00"/>
    <n v="1"/>
    <s v="Site"/>
    <s v="Cancelado"/>
    <n v="3920"/>
    <n v="0"/>
    <n v="3920"/>
    <n v="3920"/>
    <s v="Notebook "/>
    <s v="Informática"/>
    <x v="10"/>
  </r>
  <r>
    <n v="1141"/>
    <n v="59"/>
    <n v="135"/>
    <d v="2026-07-30T00:00:00"/>
    <n v="2"/>
    <s v="Site"/>
    <s v="Entregue"/>
    <n v="884"/>
    <n v="0.1"/>
    <n v="1768"/>
    <n v="1591.2"/>
    <s v="Cadeira Escritório "/>
    <s v="Móveis"/>
    <x v="4"/>
  </r>
  <r>
    <n v="1142"/>
    <n v="86"/>
    <n v="165"/>
    <d v="2026-07-31T00:00:00"/>
    <n v="2"/>
    <s v="Site"/>
    <s v="Em transporte"/>
    <n v="918"/>
    <n v="0.05"/>
    <n v="1836"/>
    <n v="1744.2"/>
    <s v="Cadeira Escritório "/>
    <s v="Móveis"/>
    <x v="9"/>
  </r>
  <r>
    <n v="1143"/>
    <n v="22"/>
    <n v="199"/>
    <d v="2026-08-02T00:00:00"/>
    <n v="1"/>
    <s v="Site"/>
    <s v="Entregue"/>
    <n v="1064"/>
    <n v="0.1"/>
    <n v="1064"/>
    <n v="957.6"/>
    <s v="Impressora "/>
    <s v="Informática"/>
    <x v="2"/>
  </r>
  <r>
    <n v="1144"/>
    <n v="30"/>
    <n v="147"/>
    <d v="2026-08-03T00:00:00"/>
    <n v="2"/>
    <s v="Site"/>
    <s v="Em transporte"/>
    <n v="83.2"/>
    <n v="0.05"/>
    <n v="166.4"/>
    <n v="158.08000000000001"/>
    <s v="Mousepad "/>
    <s v="Acessórios"/>
    <x v="12"/>
  </r>
  <r>
    <n v="1145"/>
    <n v="38"/>
    <n v="178"/>
    <d v="2026-08-05T00:00:00"/>
    <n v="3"/>
    <s v="Site"/>
    <s v="Entregue"/>
    <n v="151.19999999999999"/>
    <n v="0.05"/>
    <n v="453.6"/>
    <n v="430.92"/>
    <s v="Suporte Notebook "/>
    <s v="Acessórios"/>
    <x v="11"/>
  </r>
  <r>
    <n v="1146"/>
    <n v="51"/>
    <n v="103"/>
    <d v="2026-08-06T00:00:00"/>
    <n v="3"/>
    <s v="Site"/>
    <s v="Entregue"/>
    <n v="180"/>
    <n v="0.1"/>
    <n v="540"/>
    <n v="486"/>
    <s v="Teclado"/>
    <s v="Informática"/>
    <x v="3"/>
  </r>
  <r>
    <n v="1147"/>
    <n v="54"/>
    <n v="101"/>
    <d v="2026-08-08T00:00:00"/>
    <n v="1"/>
    <s v="Marketplace"/>
    <s v="Cancelado"/>
    <n v="3500"/>
    <n v="0"/>
    <n v="3500"/>
    <n v="3500"/>
    <s v="Notebook"/>
    <s v="Informática"/>
    <x v="0"/>
  </r>
  <r>
    <n v="1148"/>
    <n v="8"/>
    <n v="105"/>
    <d v="2026-08-09T00:00:00"/>
    <n v="1"/>
    <s v="Marketplace"/>
    <s v="Entregue"/>
    <n v="850"/>
    <n v="0"/>
    <n v="850"/>
    <n v="850"/>
    <s v="Cadeira Escritório"/>
    <s v="Móveis"/>
    <x v="11"/>
  </r>
  <r>
    <n v="1149"/>
    <n v="27"/>
    <n v="190"/>
    <d v="2026-08-11T00:00:00"/>
    <n v="4"/>
    <s v="Site"/>
    <s v="Entregue"/>
    <n v="648"/>
    <n v="0"/>
    <n v="2592"/>
    <n v="2592"/>
    <s v="Mesa Digitalizadora "/>
    <s v="Informática"/>
    <x v="7"/>
  </r>
  <r>
    <n v="1150"/>
    <n v="27"/>
    <n v="114"/>
    <d v="2026-08-12T00:00:00"/>
    <n v="3"/>
    <s v="Marketplace"/>
    <s v="Cancelado"/>
    <n v="450"/>
    <n v="0.15"/>
    <n v="1350"/>
    <n v="1147.5"/>
    <s v="HD Externo"/>
    <s v="Informática"/>
    <x v="7"/>
  </r>
  <r>
    <n v="1151"/>
    <n v="98"/>
    <n v="127"/>
    <d v="2026-08-14T00:00:00"/>
    <n v="1"/>
    <s v="Marketplace"/>
    <s v="Cancelado"/>
    <n v="70"/>
    <n v="0.1"/>
    <n v="70"/>
    <n v="63"/>
    <s v="Pen Drive"/>
    <s v="Informática"/>
    <x v="11"/>
  </r>
  <r>
    <n v="1152"/>
    <n v="21"/>
    <n v="109"/>
    <d v="2026-08-15T00:00:00"/>
    <n v="3"/>
    <s v="Site"/>
    <s v="Entregue"/>
    <n v="950"/>
    <n v="0"/>
    <n v="2850"/>
    <n v="2850"/>
    <s v="Impressora"/>
    <s v="Informática"/>
    <x v="3"/>
  </r>
  <r>
    <n v="1153"/>
    <n v="30"/>
    <n v="179"/>
    <d v="2026-08-17T00:00:00"/>
    <n v="3"/>
    <s v="Loja Física"/>
    <s v="Entregue"/>
    <n v="324"/>
    <n v="0.05"/>
    <n v="972"/>
    <n v="923.4"/>
    <s v="Caixa de Som "/>
    <s v="Eletrônicos"/>
    <x v="12"/>
  </r>
  <r>
    <n v="1154"/>
    <n v="97"/>
    <n v="115"/>
    <d v="2026-08-18T00:00:00"/>
    <n v="2"/>
    <s v="Loja Física"/>
    <s v="Entregue"/>
    <n v="500"/>
    <n v="0.1"/>
    <n v="1000"/>
    <n v="900"/>
    <s v="SSD"/>
    <s v="Informática"/>
    <x v="2"/>
  </r>
  <r>
    <n v="1155"/>
    <n v="28"/>
    <n v="190"/>
    <d v="2026-08-20T00:00:00"/>
    <n v="2"/>
    <s v="Site"/>
    <s v="Entregue"/>
    <n v="648"/>
    <n v="0"/>
    <n v="1296"/>
    <n v="1296"/>
    <s v="Mesa Digitalizadora "/>
    <s v="Informática"/>
    <x v="6"/>
  </r>
  <r>
    <n v="1156"/>
    <n v="64"/>
    <n v="142"/>
    <d v="2026-08-21T00:00:00"/>
    <n v="1"/>
    <s v="Site"/>
    <s v="Entregue"/>
    <n v="436.8"/>
    <n v="0.05"/>
    <n v="436.8"/>
    <n v="414.96"/>
    <s v="Headset "/>
    <s v="Eletrônicos"/>
    <x v="5"/>
  </r>
  <r>
    <n v="1157"/>
    <n v="97"/>
    <n v="177"/>
    <d v="2026-08-23T00:00:00"/>
    <n v="1"/>
    <s v="Loja Física"/>
    <s v="Entregue"/>
    <n v="86.4"/>
    <n v="0.1"/>
    <n v="86.4"/>
    <n v="77.760000000000005"/>
    <s v="Mousepad "/>
    <s v="Acessórios"/>
    <x v="2"/>
  </r>
  <r>
    <n v="1158"/>
    <n v="69"/>
    <n v="151"/>
    <d v="2026-08-24T00:00:00"/>
    <n v="1"/>
    <s v="Marketplace"/>
    <s v="Em transporte"/>
    <n v="270.39999999999998"/>
    <n v="0"/>
    <n v="270.39999999999998"/>
    <n v="270.39999999999998"/>
    <s v="Estabilizador "/>
    <s v="Informática"/>
    <x v="0"/>
  </r>
  <r>
    <n v="1159"/>
    <n v="61"/>
    <n v="163"/>
    <d v="2026-08-26T00:00:00"/>
    <n v="3"/>
    <s v="Site"/>
    <s v="Em transporte"/>
    <n v="194.4"/>
    <n v="0.05"/>
    <n v="583.20000000000005"/>
    <n v="554.04"/>
    <s v="Teclado "/>
    <s v="Informática"/>
    <x v="10"/>
  </r>
  <r>
    <n v="1160"/>
    <n v="48"/>
    <n v="196"/>
    <d v="2026-08-27T00:00:00"/>
    <n v="1"/>
    <s v="Site"/>
    <s v="Em transporte"/>
    <n v="1232"/>
    <n v="0"/>
    <n v="1232"/>
    <n v="1232"/>
    <s v="Mesa Escritório "/>
    <s v="Móveis"/>
    <x v="8"/>
  </r>
  <r>
    <n v="1161"/>
    <n v="19"/>
    <n v="152"/>
    <d v="2026-08-29T00:00:00"/>
    <n v="1"/>
    <s v="Site"/>
    <s v="Entregue"/>
    <n v="728"/>
    <n v="0.1"/>
    <n v="728"/>
    <n v="655.20000000000005"/>
    <s v="Nobreak "/>
    <s v="Informática"/>
    <x v="5"/>
  </r>
  <r>
    <n v="1162"/>
    <n v="4"/>
    <n v="196"/>
    <d v="2026-08-30T00:00:00"/>
    <n v="1"/>
    <s v="Site"/>
    <s v="Entregue"/>
    <n v="1232"/>
    <n v="0.15"/>
    <n v="1232"/>
    <n v="1047.2"/>
    <s v="Mesa Escritório "/>
    <s v="Móveis"/>
    <x v="5"/>
  </r>
  <r>
    <n v="1163"/>
    <n v="35"/>
    <n v="104"/>
    <d v="2026-09-01T00:00:00"/>
    <n v="2"/>
    <s v="Marketplace"/>
    <s v="Entregue"/>
    <n v="90"/>
    <n v="0.1"/>
    <n v="180"/>
    <n v="162"/>
    <s v="Mouse"/>
    <s v="Informática"/>
    <x v="14"/>
  </r>
  <r>
    <n v="1164"/>
    <n v="64"/>
    <n v="194"/>
    <d v="2026-09-02T00:00:00"/>
    <n v="3"/>
    <s v="Site"/>
    <s v="Entregue"/>
    <n v="100.8"/>
    <n v="0"/>
    <n v="302.39999999999998"/>
    <n v="302.39999999999998"/>
    <s v="Mouse "/>
    <s v="Informática"/>
    <x v="5"/>
  </r>
  <r>
    <n v="1165"/>
    <n v="49"/>
    <n v="123"/>
    <d v="2026-09-04T00:00:00"/>
    <n v="1"/>
    <s v="Site"/>
    <s v="Entregue"/>
    <n v="1450"/>
    <n v="0.1"/>
    <n v="1450"/>
    <n v="1305"/>
    <s v="Cadeira Gamer"/>
    <s v="Móveis"/>
    <x v="5"/>
  </r>
  <r>
    <n v="1166"/>
    <n v="17"/>
    <n v="115"/>
    <d v="2026-09-05T00:00:00"/>
    <n v="1"/>
    <s v="Marketplace"/>
    <s v="Em transporte"/>
    <n v="500"/>
    <n v="0.1"/>
    <n v="500"/>
    <n v="450"/>
    <s v="SSD"/>
    <s v="Informática"/>
    <x v="1"/>
  </r>
  <r>
    <n v="1167"/>
    <n v="44"/>
    <n v="143"/>
    <d v="2026-09-07T00:00:00"/>
    <n v="2"/>
    <s v="Site"/>
    <s v="Entregue"/>
    <n v="1872"/>
    <n v="0"/>
    <n v="3744"/>
    <n v="3744"/>
    <s v="Tablet "/>
    <s v="Eletrônicos"/>
    <x v="4"/>
  </r>
  <r>
    <n v="1168"/>
    <n v="92"/>
    <n v="129"/>
    <d v="2026-09-08T00:00:00"/>
    <n v="1"/>
    <s v="Site"/>
    <s v="Entregue"/>
    <n v="650"/>
    <n v="0.1"/>
    <n v="650"/>
    <n v="585"/>
    <s v="Smartwatch"/>
    <s v="Eletrônicos"/>
    <x v="1"/>
  </r>
  <r>
    <n v="1169"/>
    <n v="30"/>
    <n v="136"/>
    <d v="2026-09-10T00:00:00"/>
    <n v="1"/>
    <s v="Marketplace"/>
    <s v="Entregue"/>
    <n v="1144"/>
    <n v="0"/>
    <n v="1144"/>
    <n v="1144"/>
    <s v="Mesa Escritório "/>
    <s v="Móveis"/>
    <x v="12"/>
  </r>
  <r>
    <n v="1170"/>
    <n v="93"/>
    <n v="113"/>
    <d v="2026-09-11T00:00:00"/>
    <n v="1"/>
    <s v="Loja Física"/>
    <s v="Em transporte"/>
    <n v="1800"/>
    <n v="0.05"/>
    <n v="1800"/>
    <n v="1710"/>
    <s v="Tablet"/>
    <s v="Eletrônicos"/>
    <x v="8"/>
  </r>
  <r>
    <n v="1171"/>
    <n v="46"/>
    <n v="132"/>
    <d v="2026-09-13T00:00:00"/>
    <n v="1"/>
    <s v="Marketplace"/>
    <s v="Entregue"/>
    <n v="1248"/>
    <n v="0"/>
    <n v="1248"/>
    <n v="1248"/>
    <s v="Monitor "/>
    <s v="Informática"/>
    <x v="10"/>
  </r>
  <r>
    <n v="1172"/>
    <n v="6"/>
    <n v="171"/>
    <d v="2026-09-14T00:00:00"/>
    <n v="1"/>
    <s v="Marketplace"/>
    <s v="Entregue"/>
    <n v="345.6"/>
    <n v="0"/>
    <n v="345.6"/>
    <n v="345.6"/>
    <s v="Webcam "/>
    <s v="Informática"/>
    <x v="3"/>
  </r>
  <r>
    <n v="1173"/>
    <n v="99"/>
    <n v="159"/>
    <d v="2026-09-16T00:00:00"/>
    <n v="1"/>
    <s v="Site"/>
    <s v="Entregue"/>
    <n v="676"/>
    <n v="0"/>
    <n v="676"/>
    <n v="676"/>
    <s v="Smartwatch "/>
    <s v="Eletrônicos"/>
    <x v="0"/>
  </r>
  <r>
    <n v="1174"/>
    <n v="37"/>
    <n v="186"/>
    <d v="2026-09-17T00:00:00"/>
    <n v="1"/>
    <s v="Site"/>
    <s v="Em transporte"/>
    <n v="129.6"/>
    <n v="0.05"/>
    <n v="129.6"/>
    <n v="123.12"/>
    <s v="Hub USB "/>
    <s v="Informática"/>
    <x v="2"/>
  </r>
  <r>
    <n v="1175"/>
    <n v="24"/>
    <n v="128"/>
    <d v="2026-09-19T00:00:00"/>
    <n v="3"/>
    <s v="Marketplace"/>
    <s v="Entregue"/>
    <n v="110"/>
    <n v="0"/>
    <n v="330"/>
    <n v="330"/>
    <s v="Carregador"/>
    <s v="Eletrônicos"/>
    <x v="0"/>
  </r>
  <r>
    <n v="1176"/>
    <n v="93"/>
    <n v="166"/>
    <d v="2026-09-20T00:00:00"/>
    <n v="1"/>
    <s v="Site"/>
    <s v="Em transporte"/>
    <n v="1188"/>
    <n v="0.05"/>
    <n v="1188"/>
    <n v="1128.5999999999999"/>
    <s v="Mesa Escritório "/>
    <s v="Móveis"/>
    <x v="8"/>
  </r>
  <r>
    <n v="1177"/>
    <n v="46"/>
    <n v="142"/>
    <d v="2026-09-22T00:00:00"/>
    <n v="2"/>
    <s v="Site"/>
    <s v="Em transporte"/>
    <n v="436.8"/>
    <n v="0"/>
    <n v="873.6"/>
    <n v="873.6"/>
    <s v="Headset "/>
    <s v="Eletrônicos"/>
    <x v="10"/>
  </r>
  <r>
    <n v="1178"/>
    <n v="53"/>
    <n v="145"/>
    <d v="2026-09-23T00:00:00"/>
    <n v="2"/>
    <s v="Site"/>
    <s v="Entregue"/>
    <n v="520"/>
    <n v="0"/>
    <n v="1040"/>
    <n v="1040"/>
    <s v="SSD "/>
    <s v="Informática"/>
    <x v="11"/>
  </r>
  <r>
    <n v="1179"/>
    <n v="95"/>
    <n v="162"/>
    <d v="2026-09-25T00:00:00"/>
    <n v="1"/>
    <s v="Site"/>
    <s v="Entregue"/>
    <n v="1296"/>
    <n v="0"/>
    <n v="1296"/>
    <n v="1296"/>
    <s v="Monitor "/>
    <s v="Informática"/>
    <x v="14"/>
  </r>
  <r>
    <n v="1180"/>
    <n v="99"/>
    <n v="157"/>
    <d v="2026-09-26T00:00:00"/>
    <n v="2"/>
    <s v="Site"/>
    <s v="Cancelado"/>
    <n v="72.8"/>
    <n v="0.05"/>
    <n v="145.6"/>
    <n v="138.32"/>
    <s v="Pen Drive "/>
    <s v="Informática"/>
    <x v="0"/>
  </r>
  <r>
    <n v="1181"/>
    <n v="60"/>
    <n v="106"/>
    <d v="2026-09-28T00:00:00"/>
    <n v="1"/>
    <s v="Site"/>
    <s v="Entregue"/>
    <n v="1100"/>
    <n v="0"/>
    <n v="1100"/>
    <n v="1100"/>
    <s v="Mesa Escritório"/>
    <s v="Móveis"/>
    <x v="12"/>
  </r>
  <r>
    <n v="1182"/>
    <n v="97"/>
    <n v="128"/>
    <d v="2026-09-29T00:00:00"/>
    <n v="4"/>
    <s v="Site"/>
    <s v="Entregue"/>
    <n v="110"/>
    <n v="0.05"/>
    <n v="440"/>
    <n v="418"/>
    <s v="Carregador"/>
    <s v="Eletrônicos"/>
    <x v="2"/>
  </r>
  <r>
    <n v="1183"/>
    <n v="63"/>
    <n v="128"/>
    <d v="2026-10-01T00:00:00"/>
    <n v="1"/>
    <s v="Site"/>
    <s v="Em transporte"/>
    <n v="110"/>
    <n v="0.1"/>
    <n v="110"/>
    <n v="99"/>
    <s v="Carregador"/>
    <s v="Eletrônicos"/>
    <x v="8"/>
  </r>
  <r>
    <n v="1184"/>
    <n v="85"/>
    <n v="144"/>
    <d v="2026-10-02T00:00:00"/>
    <n v="1"/>
    <s v="Loja Física"/>
    <s v="Cancelado"/>
    <n v="468"/>
    <n v="0.05"/>
    <n v="468"/>
    <n v="444.6"/>
    <s v="HD Externo "/>
    <s v="Informática"/>
    <x v="13"/>
  </r>
  <r>
    <n v="1185"/>
    <n v="32"/>
    <n v="184"/>
    <d v="2026-10-04T00:00:00"/>
    <n v="1"/>
    <s v="Marketplace"/>
    <s v="Cancelado"/>
    <n v="1404"/>
    <n v="0"/>
    <n v="1404"/>
    <n v="1404"/>
    <s v="Armário "/>
    <s v="Móveis"/>
    <x v="1"/>
  </r>
  <r>
    <n v="1186"/>
    <n v="87"/>
    <n v="130"/>
    <d v="2026-10-05T00:00:00"/>
    <n v="4"/>
    <s v="Marketplace"/>
    <s v="Em transporte"/>
    <n v="600"/>
    <n v="0"/>
    <n v="2400"/>
    <n v="2400"/>
    <s v="Mesa Digitalizadora"/>
    <s v="Informática"/>
    <x v="7"/>
  </r>
  <r>
    <n v="1187"/>
    <n v="33"/>
    <n v="162"/>
    <d v="2026-10-07T00:00:00"/>
    <n v="2"/>
    <s v="Marketplace"/>
    <s v="Entregue"/>
    <n v="1296"/>
    <n v="0.1"/>
    <n v="2592"/>
    <n v="2332.8000000000002"/>
    <s v="Monitor "/>
    <s v="Informática"/>
    <x v="8"/>
  </r>
  <r>
    <n v="1188"/>
    <n v="67"/>
    <n v="175"/>
    <d v="2026-10-08T00:00:00"/>
    <n v="2"/>
    <s v="Site"/>
    <s v="Entregue"/>
    <n v="540"/>
    <n v="0"/>
    <n v="1080"/>
    <n v="1080"/>
    <s v="SSD "/>
    <s v="Informática"/>
    <x v="2"/>
  </r>
  <r>
    <n v="1189"/>
    <n v="18"/>
    <n v="192"/>
    <d v="2026-10-10T00:00:00"/>
    <n v="1"/>
    <s v="Site"/>
    <s v="Em transporte"/>
    <n v="1344"/>
    <n v="0.1"/>
    <n v="1344"/>
    <n v="1209.5999999999999"/>
    <s v="Monitor "/>
    <s v="Informática"/>
    <x v="8"/>
  </r>
  <r>
    <n v="1190"/>
    <n v="25"/>
    <n v="189"/>
    <d v="2026-10-11T00:00:00"/>
    <n v="2"/>
    <s v="Marketplace"/>
    <s v="Entregue"/>
    <n v="702"/>
    <n v="0"/>
    <n v="1404"/>
    <n v="1404"/>
    <s v="Smartwatch "/>
    <s v="Eletrônicos"/>
    <x v="13"/>
  </r>
  <r>
    <n v="1191"/>
    <n v="95"/>
    <n v="162"/>
    <d v="2026-10-13T00:00:00"/>
    <n v="1"/>
    <s v="Marketplace"/>
    <s v="Entregue"/>
    <n v="1296"/>
    <n v="0.1"/>
    <n v="1296"/>
    <n v="1166.4000000000001"/>
    <s v="Monitor "/>
    <s v="Informática"/>
    <x v="14"/>
  </r>
  <r>
    <n v="1192"/>
    <n v="54"/>
    <n v="197"/>
    <d v="2026-10-14T00:00:00"/>
    <n v="3"/>
    <s v="Marketplace"/>
    <s v="Cancelado"/>
    <n v="280"/>
    <n v="0.05"/>
    <n v="840"/>
    <n v="798"/>
    <s v="Fone de Ouvido "/>
    <s v="Eletrônicos"/>
    <x v="0"/>
  </r>
  <r>
    <n v="1193"/>
    <n v="58"/>
    <n v="101"/>
    <d v="2026-10-16T00:00:00"/>
    <n v="1"/>
    <s v="Site"/>
    <s v="Entregue"/>
    <n v="3500"/>
    <n v="0.15"/>
    <n v="3500"/>
    <n v="2975"/>
    <s v="Notebook"/>
    <s v="Informática"/>
    <x v="6"/>
  </r>
  <r>
    <n v="1194"/>
    <n v="67"/>
    <n v="127"/>
    <d v="2026-10-17T00:00:00"/>
    <n v="1"/>
    <s v="Site"/>
    <s v="Entregue"/>
    <n v="70"/>
    <n v="0"/>
    <n v="70"/>
    <n v="70"/>
    <s v="Pen Drive"/>
    <s v="Informática"/>
    <x v="2"/>
  </r>
  <r>
    <n v="1195"/>
    <n v="46"/>
    <n v="162"/>
    <d v="2026-10-19T00:00:00"/>
    <n v="1"/>
    <s v="Site"/>
    <s v="Entregue"/>
    <n v="1296"/>
    <n v="0.05"/>
    <n v="1296"/>
    <n v="1231.2"/>
    <s v="Monitor "/>
    <s v="Informática"/>
    <x v="10"/>
  </r>
  <r>
    <n v="1196"/>
    <n v="24"/>
    <n v="177"/>
    <d v="2026-10-20T00:00:00"/>
    <n v="1"/>
    <s v="Site"/>
    <s v="Entregue"/>
    <n v="86.4"/>
    <n v="0"/>
    <n v="86.4"/>
    <n v="86.4"/>
    <s v="Mousepad "/>
    <s v="Acessórios"/>
    <x v="0"/>
  </r>
  <r>
    <n v="1197"/>
    <n v="32"/>
    <n v="103"/>
    <d v="2026-10-22T00:00:00"/>
    <n v="2"/>
    <s v="Marketplace"/>
    <s v="Entregue"/>
    <n v="180"/>
    <n v="0"/>
    <n v="360"/>
    <n v="360"/>
    <s v="Teclado"/>
    <s v="Informática"/>
    <x v="1"/>
  </r>
  <r>
    <n v="1198"/>
    <n v="47"/>
    <n v="170"/>
    <d v="2026-10-23T00:00:00"/>
    <n v="1"/>
    <s v="Marketplace"/>
    <s v="Entregue"/>
    <n v="172.8"/>
    <n v="0.05"/>
    <n v="172.8"/>
    <n v="164.16"/>
    <s v="Mochila "/>
    <s v="Acessórios"/>
    <x v="1"/>
  </r>
  <r>
    <n v="1199"/>
    <n v="86"/>
    <n v="172"/>
    <d v="2026-10-25T00:00:00"/>
    <n v="2"/>
    <s v="Site"/>
    <s v="Entregue"/>
    <n v="453.6"/>
    <n v="0.1"/>
    <n v="907.2"/>
    <n v="816.48"/>
    <s v="Headset "/>
    <s v="Eletrônicos"/>
    <x v="9"/>
  </r>
  <r>
    <n v="1200"/>
    <n v="23"/>
    <n v="127"/>
    <d v="2026-10-26T00:00:00"/>
    <n v="1"/>
    <s v="Loja Física"/>
    <s v="Entregue"/>
    <n v="70"/>
    <n v="0.15"/>
    <n v="70"/>
    <n v="59.5"/>
    <s v="Pen Drive"/>
    <s v="Informática"/>
    <x v="11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x v="0"/>
    <d v="2026-05-27T00:00:00"/>
    <x v="0"/>
    <n v="1"/>
    <x v="0"/>
  </r>
  <r>
    <n v="2"/>
    <x v="1"/>
    <d v="2026-09-03T00:00:00"/>
    <x v="1"/>
    <n v="2"/>
    <x v="1"/>
  </r>
  <r>
    <n v="3"/>
    <x v="2"/>
    <d v="2026-01-10T00:00:00"/>
    <x v="2"/>
    <n v="1"/>
    <x v="2"/>
  </r>
  <r>
    <n v="4"/>
    <x v="3"/>
    <d v="2026-08-06T00:00:00"/>
    <x v="3"/>
    <n v="2"/>
    <x v="0"/>
  </r>
  <r>
    <n v="5"/>
    <x v="4"/>
    <d v="2026-04-22T00:00:00"/>
    <x v="4"/>
    <n v="1"/>
    <x v="1"/>
  </r>
  <r>
    <n v="6"/>
    <x v="5"/>
    <d v="2026-08-06T00:00:00"/>
    <x v="0"/>
    <n v="2"/>
    <x v="2"/>
  </r>
  <r>
    <n v="7"/>
    <x v="6"/>
    <d v="2026-09-23T00:00:00"/>
    <x v="1"/>
    <n v="1"/>
    <x v="0"/>
  </r>
  <r>
    <n v="8"/>
    <x v="7"/>
    <d v="2026-02-06T00:00:00"/>
    <x v="2"/>
    <n v="2"/>
    <x v="1"/>
  </r>
  <r>
    <n v="9"/>
    <x v="8"/>
    <d v="2026-09-08T00:00:00"/>
    <x v="3"/>
    <n v="1"/>
    <x v="2"/>
  </r>
  <r>
    <n v="10"/>
    <x v="9"/>
    <d v="2026-05-13T00:00:00"/>
    <x v="4"/>
    <n v="2"/>
    <x v="0"/>
  </r>
  <r>
    <n v="11"/>
    <x v="10"/>
    <d v="2026-08-11T00:00:00"/>
    <x v="0"/>
    <n v="1"/>
    <x v="1"/>
  </r>
  <r>
    <n v="12"/>
    <x v="11"/>
    <d v="2026-02-11T00:00:00"/>
    <x v="1"/>
    <n v="2"/>
    <x v="2"/>
  </r>
  <r>
    <n v="13"/>
    <x v="12"/>
    <d v="2026-10-04T00:00:00"/>
    <x v="2"/>
    <n v="1"/>
    <x v="0"/>
  </r>
  <r>
    <n v="14"/>
    <x v="13"/>
    <d v="2026-02-15T00:00:00"/>
    <x v="3"/>
    <n v="2"/>
    <x v="1"/>
  </r>
  <r>
    <n v="15"/>
    <x v="14"/>
    <d v="2026-04-06T00:00:00"/>
    <x v="4"/>
    <n v="1"/>
    <x v="2"/>
  </r>
  <r>
    <n v="16"/>
    <x v="15"/>
    <d v="2026-08-31T00:00:00"/>
    <x v="0"/>
    <n v="2"/>
    <x v="0"/>
  </r>
  <r>
    <n v="17"/>
    <x v="16"/>
    <d v="2026-09-20T00:00:00"/>
    <x v="1"/>
    <n v="1"/>
    <x v="1"/>
  </r>
  <r>
    <n v="18"/>
    <x v="17"/>
    <d v="2026-10-25T00:00:00"/>
    <x v="2"/>
    <n v="2"/>
    <x v="2"/>
  </r>
  <r>
    <n v="19"/>
    <x v="18"/>
    <d v="2026-05-22T00:00:00"/>
    <x v="3"/>
    <n v="1"/>
    <x v="0"/>
  </r>
  <r>
    <n v="20"/>
    <x v="19"/>
    <d v="2026-10-05T00:00:00"/>
    <x v="4"/>
    <n v="2"/>
    <x v="1"/>
  </r>
  <r>
    <n v="21"/>
    <x v="20"/>
    <d v="2026-05-27T00:00:00"/>
    <x v="0"/>
    <n v="1"/>
    <x v="2"/>
  </r>
  <r>
    <n v="22"/>
    <x v="21"/>
    <d v="2026-08-03T00:00:00"/>
    <x v="1"/>
    <n v="2"/>
    <x v="0"/>
  </r>
  <r>
    <n v="23"/>
    <x v="22"/>
    <d v="2026-01-24T00:00:00"/>
    <x v="2"/>
    <n v="1"/>
    <x v="1"/>
  </r>
  <r>
    <n v="24"/>
    <x v="23"/>
    <d v="2026-02-23T00:00:00"/>
    <x v="3"/>
    <n v="2"/>
    <x v="2"/>
  </r>
  <r>
    <n v="25"/>
    <x v="24"/>
    <d v="2026-06-05T00:00:00"/>
    <x v="4"/>
    <n v="1"/>
    <x v="0"/>
  </r>
  <r>
    <n v="26"/>
    <x v="25"/>
    <d v="2026-07-17T00:00:00"/>
    <x v="0"/>
    <n v="2"/>
    <x v="1"/>
  </r>
  <r>
    <n v="27"/>
    <x v="26"/>
    <d v="2026-03-02T00:00:00"/>
    <x v="1"/>
    <n v="1"/>
    <x v="2"/>
  </r>
  <r>
    <n v="28"/>
    <x v="27"/>
    <d v="2026-07-08T00:00:00"/>
    <x v="2"/>
    <n v="2"/>
    <x v="0"/>
  </r>
  <r>
    <n v="29"/>
    <x v="28"/>
    <d v="2026-08-01T00:00:00"/>
    <x v="3"/>
    <n v="1"/>
    <x v="1"/>
  </r>
  <r>
    <n v="30"/>
    <x v="29"/>
    <d v="2026-05-04T00:00:00"/>
    <x v="4"/>
    <n v="2"/>
    <x v="2"/>
  </r>
  <r>
    <n v="31"/>
    <x v="30"/>
    <d v="2026-02-01T00:00:00"/>
    <x v="0"/>
    <n v="1"/>
    <x v="0"/>
  </r>
  <r>
    <n v="32"/>
    <x v="31"/>
    <d v="2026-10-03T00:00:00"/>
    <x v="1"/>
    <n v="2"/>
    <x v="1"/>
  </r>
  <r>
    <n v="33"/>
    <x v="32"/>
    <d v="2026-05-05T00:00:00"/>
    <x v="2"/>
    <n v="1"/>
    <x v="2"/>
  </r>
  <r>
    <n v="34"/>
    <x v="33"/>
    <d v="2026-06-30T00:00:00"/>
    <x v="3"/>
    <n v="2"/>
    <x v="0"/>
  </r>
  <r>
    <n v="35"/>
    <x v="34"/>
    <d v="2026-01-11T00:00:00"/>
    <x v="4"/>
    <n v="1"/>
    <x v="1"/>
  </r>
  <r>
    <n v="36"/>
    <x v="35"/>
    <d v="2026-03-31T00:00:00"/>
    <x v="0"/>
    <n v="2"/>
    <x v="2"/>
  </r>
  <r>
    <n v="37"/>
    <x v="36"/>
    <d v="2026-10-03T00:00:00"/>
    <x v="1"/>
    <n v="1"/>
    <x v="0"/>
  </r>
  <r>
    <n v="38"/>
    <x v="37"/>
    <d v="2026-03-21T00:00:00"/>
    <x v="2"/>
    <n v="2"/>
    <x v="1"/>
  </r>
  <r>
    <n v="39"/>
    <x v="38"/>
    <d v="2026-02-28T00:00:00"/>
    <x v="3"/>
    <n v="1"/>
    <x v="2"/>
  </r>
  <r>
    <n v="40"/>
    <x v="39"/>
    <d v="2026-07-18T00:00:00"/>
    <x v="4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33692-0D9B-44B6-95A2-39FCA761D4C0}" name="Tabela dinâmica22" cacheId="5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3" rowHeaderCaption="Resumo" colHeaderCaption="Status">
  <location ref="P2:T9" firstHeaderRow="1" firstDataRow="2" firstDataCol="1"/>
  <pivotFields count="6">
    <pivotField showAll="0"/>
    <pivotField dataField="1" showAll="0">
      <items count="41">
        <item x="2"/>
        <item x="34"/>
        <item x="22"/>
        <item x="30"/>
        <item x="7"/>
        <item x="11"/>
        <item x="13"/>
        <item x="23"/>
        <item x="38"/>
        <item x="26"/>
        <item x="37"/>
        <item x="35"/>
        <item x="14"/>
        <item x="4"/>
        <item x="29"/>
        <item x="32"/>
        <item x="9"/>
        <item x="18"/>
        <item x="20"/>
        <item x="0"/>
        <item x="24"/>
        <item x="33"/>
        <item x="27"/>
        <item x="39"/>
        <item x="25"/>
        <item x="28"/>
        <item x="21"/>
        <item x="5"/>
        <item x="3"/>
        <item x="10"/>
        <item x="15"/>
        <item x="1"/>
        <item x="8"/>
        <item x="6"/>
        <item x="16"/>
        <item x="31"/>
        <item x="36"/>
        <item x="12"/>
        <item x="19"/>
        <item x="17"/>
        <item t="default"/>
      </items>
    </pivotField>
    <pivotField numFmtId="14" showAll="0"/>
    <pivotField axis="axisRow" showAll="0">
      <items count="6">
        <item x="2"/>
        <item x="4"/>
        <item x="0"/>
        <item x="1"/>
        <item x="3"/>
        <item t="default"/>
      </items>
    </pivotField>
    <pivotField showAll="0"/>
    <pivotField axis="axisCol" showAll="0">
      <items count="4">
        <item x="2"/>
        <item x="1"/>
        <item x="0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Vendas Retornadas" fld="1" subtotal="countNums" baseField="0" baseItem="0"/>
  </dataFields>
  <formats count="10">
    <format dxfId="9">
      <pivotArea type="origin" dataOnly="0" labelOnly="1" outline="0" fieldPosition="0"/>
    </format>
    <format dxfId="8">
      <pivotArea field="3" type="button" dataOnly="0" labelOnly="1" outline="0" axis="axisRow" fieldPosition="0"/>
    </format>
    <format dxfId="7">
      <pivotArea field="5" type="button" dataOnly="0" labelOnly="1" outline="0" axis="axisCol" fieldPosition="0"/>
    </format>
    <format dxfId="6">
      <pivotArea type="topRight" dataOnly="0" labelOnly="1" outline="0" fieldPosition="0"/>
    </format>
    <format dxfId="5">
      <pivotArea dataOnly="0" labelOnly="1" fieldPosition="0">
        <references count="1">
          <reference field="5" count="0"/>
        </references>
      </pivotArea>
    </format>
    <format dxfId="4">
      <pivotArea dataOnly="0" labelOnly="1" grandCol="1" outline="0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5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26B6B-DB3C-48AC-A3B9-9AF01DAB11B2}" name="Tabela dinâmica19" cacheId="4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5" rowHeaderCaption="Cidades">
  <location ref="M2:N18" firstHeaderRow="1" firstDataRow="1" firstDataCol="1"/>
  <pivotFields count="14">
    <pivotField dataField="1" showAll="0"/>
    <pivotField showAll="0"/>
    <pivotField showAll="0"/>
    <pivotField numFmtId="14" showAll="0"/>
    <pivotField showAll="0"/>
    <pivotField showAll="0"/>
    <pivotField showAll="0"/>
    <pivotField numFmtId="165" showAll="0"/>
    <pivotField numFmtId="9" showAll="0"/>
    <pivotField numFmtId="165" showAll="0"/>
    <pivotField numFmtId="165" showAll="0"/>
    <pivotField showAll="0"/>
    <pivotField showAll="0"/>
    <pivotField axis="axisRow" showAll="0">
      <items count="16">
        <item x="6"/>
        <item x="0"/>
        <item x="7"/>
        <item x="14"/>
        <item x="9"/>
        <item x="8"/>
        <item x="2"/>
        <item x="3"/>
        <item x="4"/>
        <item x="1"/>
        <item x="11"/>
        <item x="5"/>
        <item x="12"/>
        <item x="10"/>
        <item x="13"/>
        <item t="default"/>
      </items>
    </pivotField>
  </pivotFields>
  <rowFields count="1">
    <field x="13"/>
  </rowFields>
  <rowItems count="16">
    <i>
      <x v="1"/>
    </i>
    <i>
      <x v="6"/>
    </i>
    <i>
      <x v="5"/>
    </i>
    <i>
      <x v="9"/>
    </i>
    <i>
      <x v="10"/>
    </i>
    <i>
      <x v="13"/>
    </i>
    <i>
      <x v="3"/>
    </i>
    <i>
      <x v="7"/>
    </i>
    <i>
      <x v="8"/>
    </i>
    <i>
      <x v="11"/>
    </i>
    <i>
      <x v="12"/>
    </i>
    <i>
      <x v="2"/>
    </i>
    <i>
      <x v="14"/>
    </i>
    <i>
      <x v="4"/>
    </i>
    <i>
      <x/>
    </i>
    <i t="grand">
      <x/>
    </i>
  </rowItems>
  <colItems count="1">
    <i/>
  </colItems>
  <dataFields count="1">
    <dataField name="QTD ID_Pedidos" fld="0" subtotal="countNums" baseField="0" baseItem="0"/>
  </dataFields>
  <formats count="4">
    <format dxfId="10">
      <pivotArea field="13" type="button" dataOnly="0" labelOnly="1" outline="0" axis="axisRow" fieldPosition="0"/>
    </format>
    <format dxfId="11">
      <pivotArea dataOnly="0" labelOnly="1" outline="0" axis="axisValues" fieldPosition="0"/>
    </format>
    <format dxfId="12">
      <pivotArea grandRow="1" outline="0" collapsedLevelsAreSubtotals="1" fieldPosition="0"/>
    </format>
    <format dxfId="1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1871D9-5360-4EDE-86B3-96DA89FB679A}" name="Tabela dinâmica16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7" rowHeaderCaption="Produtos">
  <location ref="J21:K32" firstHeaderRow="1" firstDataRow="1" firstDataCol="1" rowPageCount="1" colPageCount="1"/>
  <pivotFields count="15">
    <pivotField dataField="1" showAll="0"/>
    <pivotField showAll="0"/>
    <pivotField showAll="0"/>
    <pivotField axis="axisRow"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name="Periodo" axis="axisPage" showAll="0">
      <items count="4">
        <item x="2"/>
        <item x="1"/>
        <item x="0"/>
        <item t="default"/>
      </items>
    </pivotField>
    <pivotField numFmtId="165" showAll="0"/>
    <pivotField numFmtId="9" showAll="0"/>
    <pivotField numFmtId="165" showAll="0"/>
    <pivotField numFmtId="165" showAll="0">
      <items count="164">
        <item x="162"/>
        <item x="123"/>
        <item x="7"/>
        <item x="157"/>
        <item x="81"/>
        <item x="127"/>
        <item x="38"/>
        <item x="158"/>
        <item x="48"/>
        <item x="72"/>
        <item x="149"/>
        <item x="10"/>
        <item x="94"/>
        <item x="87"/>
        <item x="142"/>
        <item x="47"/>
        <item x="80"/>
        <item x="77"/>
        <item x="62"/>
        <item x="118"/>
        <item x="42"/>
        <item x="160"/>
        <item x="60"/>
        <item x="107"/>
        <item x="65"/>
        <item x="40"/>
        <item x="69"/>
        <item x="21"/>
        <item x="1"/>
        <item x="103"/>
        <item x="26"/>
        <item x="68"/>
        <item x="44"/>
        <item x="39"/>
        <item x="113"/>
        <item x="5"/>
        <item x="128"/>
        <item x="109"/>
        <item x="29"/>
        <item x="133"/>
        <item x="112"/>
        <item x="74"/>
        <item x="143"/>
        <item x="82"/>
        <item x="141"/>
        <item x="41"/>
        <item x="24"/>
        <item x="17"/>
        <item x="11"/>
        <item x="159"/>
        <item x="108"/>
        <item x="25"/>
        <item x="83"/>
        <item x="106"/>
        <item x="32"/>
        <item x="148"/>
        <item x="3"/>
        <item x="150"/>
        <item x="135"/>
        <item x="119"/>
        <item x="90"/>
        <item x="64"/>
        <item x="2"/>
        <item x="23"/>
        <item x="97"/>
        <item x="8"/>
        <item x="35"/>
        <item x="129"/>
        <item x="137"/>
        <item x="52"/>
        <item x="34"/>
        <item x="96"/>
        <item x="131"/>
        <item x="14"/>
        <item x="88"/>
        <item x="28"/>
        <item x="31"/>
        <item x="58"/>
        <item x="27"/>
        <item x="13"/>
        <item x="155"/>
        <item x="101"/>
        <item x="43"/>
        <item x="161"/>
        <item x="61"/>
        <item x="71"/>
        <item x="121"/>
        <item x="145"/>
        <item x="100"/>
        <item x="126"/>
        <item x="93"/>
        <item x="79"/>
        <item x="125"/>
        <item x="92"/>
        <item x="117"/>
        <item x="102"/>
        <item x="146"/>
        <item x="132"/>
        <item x="153"/>
        <item x="147"/>
        <item x="144"/>
        <item x="138"/>
        <item x="122"/>
        <item x="154"/>
        <item x="57"/>
        <item x="20"/>
        <item x="56"/>
        <item x="75"/>
        <item x="105"/>
        <item x="70"/>
        <item x="130"/>
        <item x="86"/>
        <item x="140"/>
        <item x="36"/>
        <item x="12"/>
        <item x="134"/>
        <item x="50"/>
        <item x="67"/>
        <item x="55"/>
        <item x="6"/>
        <item x="78"/>
        <item x="15"/>
        <item x="84"/>
        <item x="110"/>
        <item x="0"/>
        <item x="73"/>
        <item x="89"/>
        <item x="85"/>
        <item x="115"/>
        <item x="9"/>
        <item x="99"/>
        <item x="139"/>
        <item x="116"/>
        <item x="22"/>
        <item x="18"/>
        <item x="76"/>
        <item x="49"/>
        <item x="104"/>
        <item x="46"/>
        <item x="19"/>
        <item x="59"/>
        <item x="152"/>
        <item x="151"/>
        <item x="37"/>
        <item x="33"/>
        <item x="91"/>
        <item x="124"/>
        <item x="156"/>
        <item x="53"/>
        <item x="63"/>
        <item x="54"/>
        <item x="66"/>
        <item x="51"/>
        <item x="120"/>
        <item x="45"/>
        <item x="136"/>
        <item x="4"/>
        <item x="111"/>
        <item x="114"/>
        <item x="98"/>
        <item x="16"/>
        <item x="95"/>
        <item x="30"/>
        <item t="default"/>
      </items>
    </pivotField>
    <pivotField showAll="0">
      <items count="55">
        <item x="11"/>
        <item x="34"/>
        <item x="46"/>
        <item x="38"/>
        <item x="49"/>
        <item x="6"/>
        <item x="21"/>
        <item x="47"/>
        <item x="9"/>
        <item x="5"/>
        <item x="25"/>
        <item x="27"/>
        <item x="50"/>
        <item x="32"/>
        <item x="36"/>
        <item x="48"/>
        <item x="3"/>
        <item x="42"/>
        <item x="51"/>
        <item x="33"/>
        <item x="29"/>
        <item x="26"/>
        <item x="15"/>
        <item x="18"/>
        <item x="41"/>
        <item x="40"/>
        <item x="10"/>
        <item x="14"/>
        <item x="22"/>
        <item x="31"/>
        <item x="17"/>
        <item x="24"/>
        <item x="13"/>
        <item x="0"/>
        <item x="44"/>
        <item x="4"/>
        <item x="52"/>
        <item x="7"/>
        <item x="23"/>
        <item x="37"/>
        <item x="16"/>
        <item x="43"/>
        <item x="20"/>
        <item x="2"/>
        <item x="8"/>
        <item x="30"/>
        <item x="39"/>
        <item x="53"/>
        <item x="28"/>
        <item x="12"/>
        <item x="1"/>
        <item x="19"/>
        <item x="45"/>
        <item x="35"/>
        <item t="default"/>
      </items>
    </pivotField>
    <pivotField showAll="0">
      <items count="5">
        <item sd="0" x="3"/>
        <item sd="0" x="1"/>
        <item sd="0" x="0"/>
        <item sd="0" x="2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4"/>
    <field x="13"/>
    <field x="3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6" hier="-1"/>
  </pageFields>
  <dataFields count="1">
    <dataField name="Contagem de ID_Pedido" fld="0" subtotal="count" baseField="0" baseItem="0"/>
  </dataFields>
  <formats count="8">
    <format dxfId="27">
      <pivotArea field="12" type="button" dataOnly="0" labelOnly="1" outline="0"/>
    </format>
    <format dxfId="28">
      <pivotArea dataOnly="0" labelOnly="1" outline="0" axis="axisValues" fieldPosition="0"/>
    </format>
    <format dxfId="29">
      <pivotArea field="12" type="button" dataOnly="0" labelOnly="1" outline="0"/>
    </format>
    <format dxfId="30">
      <pivotArea dataOnly="0" labelOnly="1" outline="0" axis="axisValues" fieldPosition="0"/>
    </format>
    <format dxfId="31">
      <pivotArea grandRow="1" outline="0" collapsedLevelsAreSubtotals="1" fieldPosition="0"/>
    </format>
    <format dxfId="32">
      <pivotArea dataOnly="0" labelOnly="1" grandRow="1" outline="0" fieldPosition="0"/>
    </format>
    <format dxfId="26">
      <pivotArea field="6" type="button" dataOnly="0" labelOnly="1" outline="0" axis="axisPage" fieldPosition="0"/>
    </format>
    <format dxfId="25">
      <pivotArea field="14" type="button" dataOnly="0" labelOnly="1" outline="0" axis="axisRow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5786C-0871-42F8-809C-C8EC9185913B}" name="Tabela dinâmica15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tos">
  <location ref="J12:K16" firstHeaderRow="1" firstDataRow="1" firstDataCol="1"/>
  <pivotFields count="15">
    <pivotField dataField="1" showAll="0"/>
    <pivotField showAll="0"/>
    <pivotField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numFmtId="165" showAll="0"/>
    <pivotField numFmtId="9" showAll="0"/>
    <pivotField numFmtId="165" showAll="0"/>
    <pivotField numFmtId="165" showAll="0">
      <items count="164">
        <item x="162"/>
        <item x="123"/>
        <item x="7"/>
        <item x="157"/>
        <item x="81"/>
        <item x="127"/>
        <item x="38"/>
        <item x="158"/>
        <item x="48"/>
        <item x="72"/>
        <item x="149"/>
        <item x="10"/>
        <item x="94"/>
        <item x="87"/>
        <item x="142"/>
        <item x="47"/>
        <item x="80"/>
        <item x="77"/>
        <item x="62"/>
        <item x="118"/>
        <item x="42"/>
        <item x="160"/>
        <item x="60"/>
        <item x="107"/>
        <item x="65"/>
        <item x="40"/>
        <item x="69"/>
        <item x="21"/>
        <item x="1"/>
        <item x="103"/>
        <item x="26"/>
        <item x="68"/>
        <item x="44"/>
        <item x="39"/>
        <item x="113"/>
        <item x="5"/>
        <item x="128"/>
        <item x="109"/>
        <item x="29"/>
        <item x="133"/>
        <item x="112"/>
        <item x="74"/>
        <item x="143"/>
        <item x="82"/>
        <item x="141"/>
        <item x="41"/>
        <item x="24"/>
        <item x="17"/>
        <item x="11"/>
        <item x="159"/>
        <item x="108"/>
        <item x="25"/>
        <item x="83"/>
        <item x="106"/>
        <item x="32"/>
        <item x="148"/>
        <item x="3"/>
        <item x="150"/>
        <item x="135"/>
        <item x="119"/>
        <item x="90"/>
        <item x="64"/>
        <item x="2"/>
        <item x="23"/>
        <item x="97"/>
        <item x="8"/>
        <item x="35"/>
        <item x="129"/>
        <item x="137"/>
        <item x="52"/>
        <item x="34"/>
        <item x="96"/>
        <item x="131"/>
        <item x="14"/>
        <item x="88"/>
        <item x="28"/>
        <item x="31"/>
        <item x="58"/>
        <item x="27"/>
        <item x="13"/>
        <item x="155"/>
        <item x="101"/>
        <item x="43"/>
        <item x="161"/>
        <item x="61"/>
        <item x="71"/>
        <item x="121"/>
        <item x="145"/>
        <item x="100"/>
        <item x="126"/>
        <item x="93"/>
        <item x="79"/>
        <item x="125"/>
        <item x="92"/>
        <item x="117"/>
        <item x="102"/>
        <item x="146"/>
        <item x="132"/>
        <item x="153"/>
        <item x="147"/>
        <item x="144"/>
        <item x="138"/>
        <item x="122"/>
        <item x="154"/>
        <item x="57"/>
        <item x="20"/>
        <item x="56"/>
        <item x="75"/>
        <item x="105"/>
        <item x="70"/>
        <item x="130"/>
        <item x="86"/>
        <item x="140"/>
        <item x="36"/>
        <item x="12"/>
        <item x="134"/>
        <item x="50"/>
        <item x="67"/>
        <item x="55"/>
        <item x="6"/>
        <item x="78"/>
        <item x="15"/>
        <item x="84"/>
        <item x="110"/>
        <item x="0"/>
        <item x="73"/>
        <item x="89"/>
        <item x="85"/>
        <item x="115"/>
        <item x="9"/>
        <item x="99"/>
        <item x="139"/>
        <item x="116"/>
        <item x="22"/>
        <item x="18"/>
        <item x="76"/>
        <item x="49"/>
        <item x="104"/>
        <item x="46"/>
        <item x="19"/>
        <item x="59"/>
        <item x="152"/>
        <item x="151"/>
        <item x="37"/>
        <item x="33"/>
        <item x="91"/>
        <item x="124"/>
        <item x="156"/>
        <item x="53"/>
        <item x="63"/>
        <item x="54"/>
        <item x="66"/>
        <item x="51"/>
        <item x="120"/>
        <item x="45"/>
        <item x="136"/>
        <item x="4"/>
        <item x="111"/>
        <item x="114"/>
        <item x="98"/>
        <item x="16"/>
        <item x="95"/>
        <item x="30"/>
        <item t="default"/>
      </items>
    </pivotField>
    <pivotField showAll="0">
      <items count="55">
        <item x="11"/>
        <item x="34"/>
        <item x="46"/>
        <item x="38"/>
        <item x="49"/>
        <item x="6"/>
        <item x="21"/>
        <item x="47"/>
        <item x="9"/>
        <item x="5"/>
        <item x="25"/>
        <item x="27"/>
        <item x="50"/>
        <item x="32"/>
        <item x="36"/>
        <item x="48"/>
        <item x="3"/>
        <item x="42"/>
        <item x="51"/>
        <item x="33"/>
        <item x="29"/>
        <item x="26"/>
        <item x="15"/>
        <item x="18"/>
        <item x="41"/>
        <item x="40"/>
        <item x="10"/>
        <item x="14"/>
        <item x="22"/>
        <item x="31"/>
        <item x="17"/>
        <item x="24"/>
        <item x="13"/>
        <item x="0"/>
        <item x="44"/>
        <item x="4"/>
        <item x="52"/>
        <item x="7"/>
        <item x="23"/>
        <item x="37"/>
        <item x="16"/>
        <item x="43"/>
        <item x="20"/>
        <item x="2"/>
        <item x="8"/>
        <item x="30"/>
        <item x="39"/>
        <item x="53"/>
        <item x="28"/>
        <item x="12"/>
        <item x="1"/>
        <item x="19"/>
        <item x="45"/>
        <item x="35"/>
        <item t="default"/>
      </items>
    </pivotField>
    <pivotField showAll="0">
      <items count="5">
        <item sd="0" x="3"/>
        <item sd="0" x="1"/>
        <item sd="0" x="0"/>
        <item sd="0" x="2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QTD ID_Pedidos" fld="0" subtotal="count" baseField="0" baseItem="0"/>
  </dataFields>
  <formats count="11">
    <format dxfId="14">
      <pivotArea field="12" type="button" dataOnly="0" labelOnly="1" outline="0"/>
    </format>
    <format dxfId="15">
      <pivotArea field="12" type="button" dataOnly="0" labelOnly="1" outline="0"/>
    </format>
    <format dxfId="16">
      <pivotArea grandRow="1" outline="0" collapsedLevelsAreSubtotals="1" fieldPosition="0"/>
    </format>
    <format dxfId="17">
      <pivotArea dataOnly="0" labelOnly="1" grandRow="1" outline="0" fieldPosition="0"/>
    </format>
    <format dxfId="18">
      <pivotArea field="6" type="button" dataOnly="0" labelOnly="1" outline="0" axis="axisRow" fieldPosition="0"/>
    </format>
    <format dxfId="19">
      <pivotArea dataOnly="0" labelOnly="1" outline="0" axis="axisValues" fieldPosition="0"/>
    </format>
    <format dxfId="20">
      <pivotArea dataOnly="0" labelOnly="1" fieldPosition="0">
        <references count="1">
          <reference field="6" count="0"/>
        </references>
      </pivotArea>
    </format>
    <format dxfId="21">
      <pivotArea dataOnly="0" labelOnly="1" grandRow="1" outline="0" fieldPosition="0"/>
    </format>
    <format dxfId="22">
      <pivotArea dataOnly="0" outline="0" axis="axisValues" fieldPosition="0"/>
    </format>
    <format dxfId="23">
      <pivotArea field="6" type="button" dataOnly="0" labelOnly="1" outline="0" axis="axisRow" fieldPosition="0"/>
    </format>
    <format dxfId="2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476C1A-73A7-425E-A65B-01FB26C52077}" name="Tabela dinâmica13" cacheId="4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rodutos">
  <location ref="J3:K8" firstHeaderRow="1" firstDataRow="1" firstDataCol="1" rowPageCount="1" colPageCount="1"/>
  <pivotFields count="15">
    <pivotField showAll="0"/>
    <pivotField showAll="0"/>
    <pivotField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axis="axisPage" showAll="0">
      <items count="4">
        <item x="2"/>
        <item x="1"/>
        <item x="0"/>
        <item t="default"/>
      </items>
    </pivotField>
    <pivotField numFmtId="165" showAll="0"/>
    <pivotField numFmtId="9" showAll="0"/>
    <pivotField numFmtId="165" showAll="0"/>
    <pivotField dataField="1" numFmtId="165" showAll="0"/>
    <pivotField axis="axisRow" showAll="0">
      <items count="55">
        <item x="11"/>
        <item x="34"/>
        <item x="46"/>
        <item x="38"/>
        <item x="49"/>
        <item x="6"/>
        <item x="21"/>
        <item x="47"/>
        <item x="9"/>
        <item x="5"/>
        <item x="25"/>
        <item x="27"/>
        <item x="50"/>
        <item x="32"/>
        <item x="36"/>
        <item x="48"/>
        <item x="3"/>
        <item x="42"/>
        <item x="51"/>
        <item x="33"/>
        <item x="29"/>
        <item x="26"/>
        <item x="15"/>
        <item x="18"/>
        <item x="41"/>
        <item x="40"/>
        <item x="10"/>
        <item x="14"/>
        <item x="22"/>
        <item x="31"/>
        <item x="17"/>
        <item x="24"/>
        <item x="13"/>
        <item x="0"/>
        <item x="44"/>
        <item x="4"/>
        <item x="52"/>
        <item x="7"/>
        <item x="23"/>
        <item x="37"/>
        <item x="16"/>
        <item x="43"/>
        <item x="20"/>
        <item x="2"/>
        <item x="8"/>
        <item x="30"/>
        <item x="39"/>
        <item x="53"/>
        <item x="28"/>
        <item x="12"/>
        <item x="1"/>
        <item x="19"/>
        <item x="45"/>
        <item x="35"/>
        <item t="default"/>
      </items>
    </pivotField>
    <pivotField axis="axisRow" showAll="0" sortType="descending">
      <items count="5">
        <item sd="0" x="3"/>
        <item sd="0" x="1"/>
        <item sd="0" x="0"/>
        <item sd="0"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2"/>
    <field x="11"/>
  </rowFields>
  <rowItems count="5">
    <i>
      <x v="2"/>
    </i>
    <i>
      <x v="3"/>
    </i>
    <i>
      <x v="1"/>
    </i>
    <i>
      <x/>
    </i>
    <i t="grand">
      <x/>
    </i>
  </rowItems>
  <colItems count="1">
    <i/>
  </colItems>
  <pageFields count="1">
    <pageField fld="6" item="2" hier="-1"/>
  </pageFields>
  <dataFields count="1">
    <dataField name=" Valor_Liquido" fld="10" baseField="0" baseItem="0" numFmtId="165"/>
  </dataFields>
  <formats count="7">
    <format dxfId="50">
      <pivotArea field="12" type="button" dataOnly="0" labelOnly="1" outline="0" axis="axisRow" fieldPosition="0"/>
    </format>
    <format dxfId="49">
      <pivotArea dataOnly="0" labelOnly="1" outline="0" axis="axisValues" fieldPosition="0"/>
    </format>
    <format dxfId="48">
      <pivotArea field="12" type="button" dataOnly="0" labelOnly="1" outline="0" axis="axisRow" fieldPosition="0"/>
    </format>
    <format dxfId="47">
      <pivotArea dataOnly="0" labelOnly="1" outline="0" axis="axisValues" fieldPosition="0"/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dataOnly="0" fieldPosition="0">
        <references count="2">
          <reference field="6" count="1" selected="0">
            <x v="2"/>
          </reference>
          <reference field="12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12FA0D-B1F0-43E8-BC4D-87D07F4B3DA4}" name="Tabela dinâmica4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3" rowHeaderCaption="Canais de Venda" colHeaderCaption="Status da Venda">
  <location ref="D33:E37" firstHeaderRow="1" firstDataRow="1" firstDataCol="1" rowPageCount="1" colPageCount="1"/>
  <pivotFields count="12">
    <pivotField showAll="0"/>
    <pivotField showAll="0"/>
    <pivotField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axis="axisRow" showAll="0">
      <items count="4">
        <item x="1"/>
        <item x="0"/>
        <item x="2"/>
        <item t="default"/>
      </items>
    </pivotField>
    <pivotField axis="axisPage" multipleItemSelectionAllowed="1" showAll="0">
      <items count="4">
        <item h="1" x="2"/>
        <item h="1" x="1"/>
        <item x="0"/>
        <item t="default"/>
      </items>
    </pivotField>
    <pivotField numFmtId="165" showAll="0"/>
    <pivotField numFmtId="9" showAll="0"/>
    <pivotField numFmtId="165"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Valor Liquido" fld="10" baseField="0" baseItem="0" numFmtId="165"/>
  </dataFields>
  <formats count="19">
    <format dxfId="58">
      <pivotArea field="11" type="button" dataOnly="0" labelOnly="1" outline="0"/>
    </format>
    <format dxfId="59">
      <pivotArea dataOnly="0" labelOnly="1" outline="0" axis="axisValues" fieldPosition="0"/>
    </format>
    <format dxfId="60">
      <pivotArea grandRow="1" outline="0" collapsedLevelsAreSubtotals="1" fieldPosition="0"/>
    </format>
    <format dxfId="61">
      <pivotArea dataOnly="0" labelOnly="1" grandRow="1" outline="0" fieldPosition="0"/>
    </format>
    <format dxfId="62">
      <pivotArea dataOnly="0" labelOnly="1" fieldPosition="0">
        <references count="1">
          <reference field="6" count="0"/>
        </references>
      </pivotArea>
    </format>
    <format dxfId="63">
      <pivotArea dataOnly="0" labelOnly="1" grandCol="1" outline="0" fieldPosition="0"/>
    </format>
    <format dxfId="64">
      <pivotArea type="origin" dataOnly="0" labelOnly="1" outline="0" fieldPosition="0"/>
    </format>
    <format dxfId="65">
      <pivotArea type="origin" dataOnly="0" labelOnly="1" outline="0" fieldPosition="0"/>
    </format>
    <format dxfId="66">
      <pivotArea field="6" type="button" dataOnly="0" labelOnly="1" outline="0" axis="axisPage" fieldPosition="0"/>
    </format>
    <format dxfId="67">
      <pivotArea type="origin" dataOnly="0" labelOnly="1" outline="0" fieldPosition="0"/>
    </format>
    <format dxfId="68">
      <pivotArea field="6" type="button" dataOnly="0" labelOnly="1" outline="0" axis="axisPage" fieldPosition="0"/>
    </format>
    <format dxfId="69">
      <pivotArea type="topRight" dataOnly="0" labelOnly="1" outline="0" fieldPosition="0"/>
    </format>
    <format dxfId="57">
      <pivotArea field="5" type="button" dataOnly="0" labelOnly="1" outline="0" axis="axisRow" fieldPosition="0"/>
    </format>
    <format dxfId="56">
      <pivotArea field="5" type="button" dataOnly="0" labelOnly="1" outline="0" axis="axisRow" fieldPosition="0"/>
    </format>
    <format dxfId="55">
      <pivotArea dataOnly="0" labelOnly="1" outline="0" axis="axisValues" fieldPosition="0"/>
    </format>
    <format dxfId="40">
      <pivotArea field="5" type="button" dataOnly="0" labelOnly="1" outline="0" axis="axisRow" fieldPosition="0"/>
    </format>
    <format dxfId="39">
      <pivotArea dataOnly="0" labelOnly="1" outline="0" axis="axisValues" fieldPosition="0"/>
    </format>
    <format dxfId="38">
      <pivotArea field="5" dataOnly="0" grandRow="1" axis="axisRow" fieldPosition="0">
        <references count="1">
          <reference field="5" count="1">
            <x v="2"/>
          </reference>
        </references>
      </pivotArea>
    </format>
    <format dxfId="33">
      <pivotArea dataOnly="0" labelOnly="1" outline="0" axis="axisValues" fieldPosition="0"/>
    </format>
  </formats>
  <chartFormats count="1">
    <chartFormat chart="5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FC4B59-1977-4FE9-A285-E13A5FC548A4}" name="Tabela dinâmica2" cacheId="9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63" rowHeaderCaption="Meses" colHeaderCaption="Status da Venda">
  <location ref="D1:H13" firstHeaderRow="1" firstDataRow="2" firstDataCol="1"/>
  <pivotFields count="12">
    <pivotField dataField="1" showAll="0"/>
    <pivotField showAll="0"/>
    <pivotField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Col" multipleItemSelectionAllowed="1" showAll="0">
      <items count="4">
        <item x="2"/>
        <item x="1"/>
        <item x="0"/>
        <item t="default"/>
      </items>
    </pivotField>
    <pivotField numFmtId="165" showAll="0"/>
    <pivotField numFmtId="9" showAll="0"/>
    <pivotField numFmtId="165" showAll="0"/>
    <pivotField numFmtId="165"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1"/>
  </rowFields>
  <rowItems count="1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oma de ID_Pedido" fld="0" baseField="0" baseItem="0"/>
  </dataFields>
  <formats count="24">
    <format dxfId="70">
      <pivotArea field="11" type="button" dataOnly="0" labelOnly="1" outline="0" axis="axisRow" fieldPosition="0"/>
    </format>
    <format dxfId="71">
      <pivotArea dataOnly="0" labelOnly="1" outline="0" axis="axisValues" fieldPosition="0"/>
    </format>
    <format dxfId="72">
      <pivotArea grandRow="1" outline="0" collapsedLevelsAreSubtotals="1" fieldPosition="0"/>
    </format>
    <format dxfId="73">
      <pivotArea dataOnly="0" labelOnly="1" grandRow="1" outline="0" fieldPosition="0"/>
    </format>
    <format dxfId="74">
      <pivotArea dataOnly="0" labelOnly="1" fieldPosition="0">
        <references count="1">
          <reference field="6" count="0"/>
        </references>
      </pivotArea>
    </format>
    <format dxfId="75">
      <pivotArea dataOnly="0" labelOnly="1" grandCol="1" outline="0" fieldPosition="0"/>
    </format>
    <format dxfId="76">
      <pivotArea field="6" type="button" dataOnly="0" labelOnly="1" outline="0" axis="axisCol" fieldPosition="0"/>
    </format>
    <format dxfId="77">
      <pivotArea type="origin" dataOnly="0" labelOnly="1" outline="0" fieldPosition="0"/>
    </format>
    <format dxfId="78">
      <pivotArea type="topRight" dataOnly="0" labelOnly="1" outline="0" fieldPosition="0"/>
    </format>
    <format dxfId="79">
      <pivotArea collapsedLevelsAreSubtotals="1" fieldPosition="0">
        <references count="1">
          <reference field="11" count="1">
            <x v="6"/>
          </reference>
        </references>
      </pivotArea>
    </format>
    <format dxfId="80">
      <pivotArea dataOnly="0" labelOnly="1" fieldPosition="0">
        <references count="1">
          <reference field="11" count="1">
            <x v="6"/>
          </reference>
        </references>
      </pivotArea>
    </format>
    <format dxfId="81">
      <pivotArea dataOnly="0" fieldPosition="0">
        <references count="1">
          <reference field="11" count="1">
            <x v="6"/>
          </reference>
        </references>
      </pivotArea>
    </format>
    <format dxfId="82">
      <pivotArea dataOnly="0" fieldPosition="0">
        <references count="1">
          <reference field="11" count="1">
            <x v="6"/>
          </reference>
        </references>
      </pivotArea>
    </format>
    <format dxfId="83">
      <pivotArea dataOnly="0" fieldPosition="0">
        <references count="1">
          <reference field="11" count="1">
            <x v="6"/>
          </reference>
        </references>
      </pivotArea>
    </format>
    <format dxfId="53">
      <pivotArea type="origin" dataOnly="0" labelOnly="1" outline="0" fieldPosition="0"/>
    </format>
    <format dxfId="54">
      <pivotArea type="origin" dataOnly="0" labelOnly="1" outline="0" fieldPosition="0"/>
    </format>
    <format dxfId="52">
      <pivotArea dataOnly="0" fieldPosition="0">
        <references count="1">
          <reference field="11" count="1">
            <x v="6"/>
          </reference>
        </references>
      </pivotArea>
    </format>
    <format dxfId="51">
      <pivotArea dataOnly="0" fieldPosition="0">
        <references count="1">
          <reference field="11" count="1">
            <x v="6"/>
          </reference>
        </references>
      </pivotArea>
    </format>
    <format dxfId="46">
      <pivotArea type="origin" dataOnly="0" labelOnly="1" outline="0" fieldPosition="0"/>
    </format>
    <format dxfId="45">
      <pivotArea field="6" type="button" dataOnly="0" labelOnly="1" outline="0" axis="axisCol" fieldPosition="0"/>
    </format>
    <format dxfId="44">
      <pivotArea type="topRight" dataOnly="0" labelOnly="1" outline="0" fieldPosition="0"/>
    </format>
    <format dxfId="43">
      <pivotArea field="11" type="button" dataOnly="0" labelOnly="1" outline="0" axis="axisRow" fieldPosition="0"/>
    </format>
    <format dxfId="42">
      <pivotArea dataOnly="0" labelOnly="1" fieldPosition="0">
        <references count="1">
          <reference field="6" count="0"/>
        </references>
      </pivotArea>
    </format>
    <format dxfId="41">
      <pivotArea dataOnly="0" labelOnly="1" grandCol="1" outline="0" fieldPosition="0"/>
    </format>
  </formats>
  <chartFormats count="3">
    <chartFormat chart="33" format="1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33" format="1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33" format="1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47546-28A6-4A09-985E-06A39E861997}" name="Tabela dinâ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ID_PEDIDO">
  <location ref="A3:B141" firstHeaderRow="1" firstDataRow="1" firstDataCol="1" rowPageCount="1" colPageCount="1"/>
  <pivotFields count="12">
    <pivotField axis="axisRow" showAll="0" sortType="descending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4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showAll="0"/>
    <pivotField showAll="0"/>
    <pivotField axis="axisPage" showAll="0">
      <items count="4">
        <item x="2"/>
        <item x="1"/>
        <item x="0"/>
        <item t="default"/>
      </items>
    </pivotField>
    <pivotField numFmtId="165" showAll="0"/>
    <pivotField numFmtId="9" showAll="0"/>
    <pivotField numFmtId="165" showAll="0"/>
    <pivotField dataField="1" numFmtId="165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0"/>
  </rowFields>
  <rowItems count="138">
    <i>
      <x v="112"/>
    </i>
    <i>
      <x v="118"/>
    </i>
    <i>
      <x v="4"/>
    </i>
    <i>
      <x v="166"/>
    </i>
    <i>
      <x v="48"/>
    </i>
    <i>
      <x v="55"/>
    </i>
    <i>
      <x v="73"/>
    </i>
    <i>
      <x v="58"/>
    </i>
    <i>
      <x v="57"/>
    </i>
    <i>
      <x v="192"/>
    </i>
    <i>
      <x v="151"/>
    </i>
    <i>
      <x v="107"/>
    </i>
    <i>
      <x v="33"/>
    </i>
    <i>
      <x v="148"/>
    </i>
    <i>
      <x v="38"/>
    </i>
    <i>
      <x v="93"/>
    </i>
    <i>
      <x v="186"/>
    </i>
    <i>
      <x v="64"/>
    </i>
    <i>
      <x v="113"/>
    </i>
    <i>
      <x v="19"/>
    </i>
    <i>
      <x v="49"/>
    </i>
    <i>
      <x v="53"/>
    </i>
    <i>
      <x v="87"/>
    </i>
    <i>
      <x v="22"/>
    </i>
    <i>
      <x v="119"/>
    </i>
    <i>
      <x v="140"/>
    </i>
    <i>
      <x v="98"/>
    </i>
    <i>
      <x v="83"/>
    </i>
    <i>
      <x/>
    </i>
    <i>
      <x v="132"/>
    </i>
    <i>
      <x v="97"/>
    </i>
    <i>
      <x v="15"/>
    </i>
    <i>
      <x v="6"/>
    </i>
    <i>
      <x v="101"/>
    </i>
    <i>
      <x v="189"/>
    </i>
    <i>
      <x v="76"/>
    </i>
    <i>
      <x v="54"/>
    </i>
    <i>
      <x v="164"/>
    </i>
    <i>
      <x v="12"/>
    </i>
    <i>
      <x v="178"/>
    </i>
    <i>
      <x v="84"/>
    </i>
    <i>
      <x v="40"/>
    </i>
    <i>
      <x v="154"/>
    </i>
    <i>
      <x v="37"/>
    </i>
    <i>
      <x v="170"/>
    </i>
    <i>
      <x v="99"/>
    </i>
    <i>
      <x v="80"/>
    </i>
    <i>
      <x v="194"/>
    </i>
    <i>
      <x v="86"/>
    </i>
    <i>
      <x v="60"/>
    </i>
    <i>
      <x v="20"/>
    </i>
    <i>
      <x v="72"/>
    </i>
    <i>
      <x v="61"/>
    </i>
    <i>
      <x v="190"/>
    </i>
    <i>
      <x v="168"/>
    </i>
    <i>
      <x v="180"/>
    </i>
    <i>
      <x v="187"/>
    </i>
    <i>
      <x v="161"/>
    </i>
    <i>
      <x v="177"/>
    </i>
    <i>
      <x v="142"/>
    </i>
    <i>
      <x v="109"/>
    </i>
    <i>
      <x v="152"/>
    </i>
    <i>
      <x v="90"/>
    </i>
    <i>
      <x v="110"/>
    </i>
    <i>
      <x v="153"/>
    </i>
    <i>
      <x v="120"/>
    </i>
    <i>
      <x v="147"/>
    </i>
    <i>
      <x v="81"/>
    </i>
    <i>
      <x v="66"/>
    </i>
    <i>
      <x v="198"/>
    </i>
    <i>
      <x v="45"/>
    </i>
    <i>
      <x v="13"/>
    </i>
    <i>
      <x v="27"/>
    </i>
    <i>
      <x v="172"/>
    </i>
    <i>
      <x v="31"/>
    </i>
    <i>
      <x v="108"/>
    </i>
    <i>
      <x v="28"/>
    </i>
    <i>
      <x v="103"/>
    </i>
    <i>
      <x v="160"/>
    </i>
    <i>
      <x v="56"/>
    </i>
    <i>
      <x v="167"/>
    </i>
    <i>
      <x v="35"/>
    </i>
    <i>
      <x v="117"/>
    </i>
    <i>
      <x v="135"/>
    </i>
    <i>
      <x v="47"/>
    </i>
    <i>
      <x v="23"/>
    </i>
    <i>
      <x v="36"/>
    </i>
    <i>
      <x v="70"/>
    </i>
    <i>
      <x v="106"/>
    </i>
    <i>
      <x v="145"/>
    </i>
    <i>
      <x v="144"/>
    </i>
    <i>
      <x v="181"/>
    </i>
    <i>
      <x v="32"/>
    </i>
    <i>
      <x v="155"/>
    </i>
    <i>
      <x v="115"/>
    </i>
    <i>
      <x v="95"/>
    </i>
    <i>
      <x v="25"/>
    </i>
    <i>
      <x v="130"/>
    </i>
    <i>
      <x v="196"/>
    </i>
    <i>
      <x v="24"/>
    </i>
    <i>
      <x v="171"/>
    </i>
    <i>
      <x v="94"/>
    </i>
    <i>
      <x v="174"/>
    </i>
    <i>
      <x v="85"/>
    </i>
    <i>
      <x v="163"/>
    </i>
    <i>
      <x v="68"/>
    </i>
    <i>
      <x v="29"/>
    </i>
    <i>
      <x v="138"/>
    </i>
    <i>
      <x v="41"/>
    </i>
    <i>
      <x v="125"/>
    </i>
    <i>
      <x v="26"/>
    </i>
    <i>
      <x v="124"/>
    </i>
    <i>
      <x v="1"/>
    </i>
    <i>
      <x v="21"/>
    </i>
    <i>
      <x v="78"/>
    </i>
    <i>
      <x v="77"/>
    </i>
    <i>
      <x v="71"/>
    </i>
    <i>
      <x v="129"/>
    </i>
    <i>
      <x v="65"/>
    </i>
    <i>
      <x v="197"/>
    </i>
    <i>
      <x v="44"/>
    </i>
    <i>
      <x v="162"/>
    </i>
    <i>
      <x v="67"/>
    </i>
    <i>
      <x v="88"/>
    </i>
    <i>
      <x v="91"/>
    </i>
    <i>
      <x v="79"/>
    </i>
    <i>
      <x v="50"/>
    </i>
    <i>
      <x v="100"/>
    </i>
    <i>
      <x v="111"/>
    </i>
    <i>
      <x v="82"/>
    </i>
    <i>
      <x v="195"/>
    </i>
    <i>
      <x v="39"/>
    </i>
    <i>
      <x v="156"/>
    </i>
    <i>
      <x v="92"/>
    </i>
    <i>
      <x v="193"/>
    </i>
    <i>
      <x v="7"/>
    </i>
    <i>
      <x v="199"/>
    </i>
    <i t="grand">
      <x/>
    </i>
  </rowItems>
  <colItems count="1">
    <i/>
  </colItems>
  <pageFields count="1">
    <pageField fld="6" item="2" hier="-1"/>
  </pageFields>
  <dataFields count="1">
    <dataField name=" Valor_Liquido" fld="10" baseField="0" baseItem="0" numFmtId="165"/>
  </dataFields>
  <formats count="10">
    <format dxfId="92">
      <pivotArea field="0" type="button" dataOnly="0" labelOnly="1" outline="0" axis="axisRow" fieldPosition="0"/>
    </format>
    <format dxfId="91">
      <pivotArea dataOnly="0" labelOnly="1" outline="0" axis="axisValues" fieldPosition="0"/>
    </format>
    <format dxfId="90">
      <pivotArea field="0" type="button" dataOnly="0" labelOnly="1" outline="0" axis="axisRow" fieldPosition="0"/>
    </format>
    <format dxfId="89">
      <pivotArea dataOnly="0" labelOnly="1" outline="0" axis="axisValues" fieldPosition="0"/>
    </format>
    <format dxfId="88">
      <pivotArea field="0" type="button" dataOnly="0" labelOnly="1" outline="0" axis="axisRow" fieldPosition="0"/>
    </format>
    <format dxfId="87">
      <pivotArea dataOnly="0" labelOnly="1" outline="0" axis="axisValues" fieldPosition="0"/>
    </format>
    <format dxfId="86">
      <pivotArea field="0" dataOnly="0" grandRow="1" axis="axisRow" fieldPosition="0">
        <references count="1">
          <reference field="0" count="1">
            <x v="199"/>
          </reference>
        </references>
      </pivotArea>
    </format>
    <format dxfId="85">
      <pivotArea field="0" dataOnly="0" grandRow="1" axis="axisRow" fieldPosition="0">
        <references count="1">
          <reference field="0" count="1">
            <x v="199"/>
          </reference>
        </references>
      </pivotArea>
    </format>
    <format dxfId="84">
      <pivotArea field="0" dataOnly="0" grandRow="1" axis="axisRow" fieldPosition="0">
        <references count="1">
          <reference field="0" count="1">
            <x v="199"/>
          </reference>
        </references>
      </pivotArea>
    </format>
    <format dxfId="34">
      <pivotArea dataOnly="0" fieldPosition="0">
        <references count="2">
          <reference field="0" count="1">
            <x v="112"/>
          </reference>
          <reference field="6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workbookViewId="0">
      <pane ySplit="1" topLeftCell="A79" activePane="bottomLeft" state="frozen"/>
      <selection pane="bottomLeft" activeCell="C45" sqref="C45"/>
    </sheetView>
  </sheetViews>
  <sheetFormatPr defaultRowHeight="14.4" x14ac:dyDescent="0.3"/>
  <cols>
    <col min="1" max="1" width="12" customWidth="1"/>
    <col min="2" max="2" width="19" customWidth="1"/>
    <col min="3" max="3" width="23" customWidth="1"/>
    <col min="4" max="4" width="12" customWidth="1"/>
    <col min="5" max="5" width="17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3">
      <c r="A3">
        <v>2</v>
      </c>
      <c r="B3" t="s">
        <v>9</v>
      </c>
      <c r="C3" t="s">
        <v>10</v>
      </c>
      <c r="D3" t="s">
        <v>7</v>
      </c>
      <c r="E3" t="s">
        <v>11</v>
      </c>
    </row>
    <row r="4" spans="1:5" x14ac:dyDescent="0.3">
      <c r="A4">
        <v>3</v>
      </c>
      <c r="B4" t="s">
        <v>12</v>
      </c>
      <c r="C4" t="s">
        <v>13</v>
      </c>
      <c r="D4" t="s">
        <v>7</v>
      </c>
      <c r="E4" t="s">
        <v>8</v>
      </c>
    </row>
    <row r="5" spans="1:5" x14ac:dyDescent="0.3">
      <c r="A5">
        <v>4</v>
      </c>
      <c r="B5" t="s">
        <v>14</v>
      </c>
      <c r="C5" t="s">
        <v>15</v>
      </c>
      <c r="D5" t="s">
        <v>7</v>
      </c>
      <c r="E5" t="s">
        <v>11</v>
      </c>
    </row>
    <row r="6" spans="1:5" x14ac:dyDescent="0.3">
      <c r="A6">
        <v>5</v>
      </c>
      <c r="B6" t="s">
        <v>16</v>
      </c>
      <c r="C6" t="s">
        <v>17</v>
      </c>
      <c r="D6" t="s">
        <v>7</v>
      </c>
      <c r="E6" t="s">
        <v>8</v>
      </c>
    </row>
    <row r="7" spans="1:5" x14ac:dyDescent="0.3">
      <c r="A7">
        <v>6</v>
      </c>
      <c r="B7" t="s">
        <v>18</v>
      </c>
      <c r="C7" t="s">
        <v>19</v>
      </c>
      <c r="D7" t="s">
        <v>7</v>
      </c>
      <c r="E7" t="s">
        <v>11</v>
      </c>
    </row>
    <row r="8" spans="1:5" x14ac:dyDescent="0.3">
      <c r="A8">
        <v>7</v>
      </c>
      <c r="B8" t="s">
        <v>20</v>
      </c>
      <c r="C8" t="s">
        <v>21</v>
      </c>
      <c r="D8" t="s">
        <v>7</v>
      </c>
      <c r="E8" t="s">
        <v>8</v>
      </c>
    </row>
    <row r="9" spans="1:5" x14ac:dyDescent="0.3">
      <c r="A9">
        <v>8</v>
      </c>
      <c r="B9" t="s">
        <v>22</v>
      </c>
      <c r="C9" t="s">
        <v>23</v>
      </c>
      <c r="D9" t="s">
        <v>7</v>
      </c>
      <c r="E9" t="s">
        <v>11</v>
      </c>
    </row>
    <row r="10" spans="1:5" x14ac:dyDescent="0.3">
      <c r="A10">
        <v>9</v>
      </c>
      <c r="B10" t="s">
        <v>24</v>
      </c>
      <c r="C10" t="s">
        <v>25</v>
      </c>
      <c r="D10" t="s">
        <v>7</v>
      </c>
      <c r="E10" t="s">
        <v>8</v>
      </c>
    </row>
    <row r="11" spans="1:5" x14ac:dyDescent="0.3">
      <c r="A11">
        <v>10</v>
      </c>
      <c r="B11" t="s">
        <v>26</v>
      </c>
      <c r="C11" t="s">
        <v>27</v>
      </c>
      <c r="D11" t="s">
        <v>7</v>
      </c>
      <c r="E11" t="s">
        <v>11</v>
      </c>
    </row>
    <row r="12" spans="1:5" x14ac:dyDescent="0.3">
      <c r="A12">
        <v>11</v>
      </c>
      <c r="B12" t="s">
        <v>28</v>
      </c>
      <c r="C12" t="s">
        <v>29</v>
      </c>
      <c r="D12" t="s">
        <v>7</v>
      </c>
      <c r="E12" t="s">
        <v>8</v>
      </c>
    </row>
    <row r="13" spans="1:5" x14ac:dyDescent="0.3">
      <c r="A13">
        <v>12</v>
      </c>
      <c r="B13" t="s">
        <v>30</v>
      </c>
      <c r="C13" t="s">
        <v>31</v>
      </c>
      <c r="D13" t="s">
        <v>7</v>
      </c>
      <c r="E13" t="s">
        <v>11</v>
      </c>
    </row>
    <row r="14" spans="1:5" x14ac:dyDescent="0.3">
      <c r="A14">
        <v>13</v>
      </c>
      <c r="B14" t="s">
        <v>32</v>
      </c>
      <c r="C14" t="s">
        <v>33</v>
      </c>
      <c r="D14" t="s">
        <v>7</v>
      </c>
      <c r="E14" t="s">
        <v>8</v>
      </c>
    </row>
    <row r="15" spans="1:5" x14ac:dyDescent="0.3">
      <c r="A15">
        <v>14</v>
      </c>
      <c r="B15" t="s">
        <v>34</v>
      </c>
      <c r="C15" t="s">
        <v>35</v>
      </c>
      <c r="D15" t="s">
        <v>7</v>
      </c>
      <c r="E15" t="s">
        <v>11</v>
      </c>
    </row>
    <row r="16" spans="1:5" x14ac:dyDescent="0.3">
      <c r="A16">
        <v>15</v>
      </c>
      <c r="B16" t="s">
        <v>36</v>
      </c>
      <c r="C16" t="s">
        <v>37</v>
      </c>
      <c r="D16" t="s">
        <v>7</v>
      </c>
      <c r="E16" t="s">
        <v>8</v>
      </c>
    </row>
    <row r="17" spans="1:5" x14ac:dyDescent="0.3">
      <c r="A17">
        <v>16</v>
      </c>
      <c r="B17" t="s">
        <v>38</v>
      </c>
      <c r="C17" t="s">
        <v>6</v>
      </c>
      <c r="D17" t="s">
        <v>7</v>
      </c>
      <c r="E17" t="s">
        <v>11</v>
      </c>
    </row>
    <row r="18" spans="1:5" x14ac:dyDescent="0.3">
      <c r="A18">
        <v>17</v>
      </c>
      <c r="B18" t="s">
        <v>39</v>
      </c>
      <c r="C18" t="s">
        <v>10</v>
      </c>
      <c r="D18" t="s">
        <v>7</v>
      </c>
      <c r="E18" t="s">
        <v>8</v>
      </c>
    </row>
    <row r="19" spans="1:5" x14ac:dyDescent="0.3">
      <c r="A19">
        <v>18</v>
      </c>
      <c r="B19" t="s">
        <v>40</v>
      </c>
      <c r="C19" t="s">
        <v>13</v>
      </c>
      <c r="D19" t="s">
        <v>7</v>
      </c>
      <c r="E19" t="s">
        <v>11</v>
      </c>
    </row>
    <row r="20" spans="1:5" x14ac:dyDescent="0.3">
      <c r="A20">
        <v>19</v>
      </c>
      <c r="B20" t="s">
        <v>41</v>
      </c>
      <c r="C20" t="s">
        <v>15</v>
      </c>
      <c r="D20" t="s">
        <v>7</v>
      </c>
      <c r="E20" t="s">
        <v>8</v>
      </c>
    </row>
    <row r="21" spans="1:5" x14ac:dyDescent="0.3">
      <c r="A21">
        <v>20</v>
      </c>
      <c r="B21" t="s">
        <v>42</v>
      </c>
      <c r="C21" t="s">
        <v>17</v>
      </c>
      <c r="D21" t="s">
        <v>7</v>
      </c>
      <c r="E21" t="s">
        <v>11</v>
      </c>
    </row>
    <row r="22" spans="1:5" x14ac:dyDescent="0.3">
      <c r="A22">
        <v>21</v>
      </c>
      <c r="B22" t="s">
        <v>43</v>
      </c>
      <c r="C22" t="s">
        <v>19</v>
      </c>
      <c r="D22" t="s">
        <v>7</v>
      </c>
      <c r="E22" t="s">
        <v>8</v>
      </c>
    </row>
    <row r="23" spans="1:5" x14ac:dyDescent="0.3">
      <c r="A23">
        <v>22</v>
      </c>
      <c r="B23" t="s">
        <v>44</v>
      </c>
      <c r="C23" t="s">
        <v>21</v>
      </c>
      <c r="D23" t="s">
        <v>7</v>
      </c>
      <c r="E23" t="s">
        <v>11</v>
      </c>
    </row>
    <row r="24" spans="1:5" x14ac:dyDescent="0.3">
      <c r="A24">
        <v>23</v>
      </c>
      <c r="B24" t="s">
        <v>45</v>
      </c>
      <c r="C24" t="s">
        <v>23</v>
      </c>
      <c r="D24" t="s">
        <v>7</v>
      </c>
      <c r="E24" t="s">
        <v>8</v>
      </c>
    </row>
    <row r="25" spans="1:5" x14ac:dyDescent="0.3">
      <c r="A25">
        <v>24</v>
      </c>
      <c r="B25" t="s">
        <v>46</v>
      </c>
      <c r="C25" t="s">
        <v>25</v>
      </c>
      <c r="D25" t="s">
        <v>7</v>
      </c>
      <c r="E25" t="s">
        <v>11</v>
      </c>
    </row>
    <row r="26" spans="1:5" x14ac:dyDescent="0.3">
      <c r="A26">
        <v>25</v>
      </c>
      <c r="B26" t="s">
        <v>47</v>
      </c>
      <c r="C26" t="s">
        <v>27</v>
      </c>
      <c r="D26" t="s">
        <v>7</v>
      </c>
      <c r="E26" t="s">
        <v>8</v>
      </c>
    </row>
    <row r="27" spans="1:5" x14ac:dyDescent="0.3">
      <c r="A27">
        <v>26</v>
      </c>
      <c r="B27" t="s">
        <v>48</v>
      </c>
      <c r="C27" t="s">
        <v>29</v>
      </c>
      <c r="D27" t="s">
        <v>7</v>
      </c>
      <c r="E27" t="s">
        <v>11</v>
      </c>
    </row>
    <row r="28" spans="1:5" x14ac:dyDescent="0.3">
      <c r="A28">
        <v>27</v>
      </c>
      <c r="B28" t="s">
        <v>49</v>
      </c>
      <c r="C28" t="s">
        <v>31</v>
      </c>
      <c r="D28" t="s">
        <v>7</v>
      </c>
      <c r="E28" t="s">
        <v>8</v>
      </c>
    </row>
    <row r="29" spans="1:5" x14ac:dyDescent="0.3">
      <c r="A29">
        <v>28</v>
      </c>
      <c r="B29" t="s">
        <v>50</v>
      </c>
      <c r="C29" t="s">
        <v>33</v>
      </c>
      <c r="D29" t="s">
        <v>7</v>
      </c>
      <c r="E29" t="s">
        <v>11</v>
      </c>
    </row>
    <row r="30" spans="1:5" x14ac:dyDescent="0.3">
      <c r="A30">
        <v>29</v>
      </c>
      <c r="B30" t="s">
        <v>51</v>
      </c>
      <c r="C30" t="s">
        <v>35</v>
      </c>
      <c r="D30" t="s">
        <v>7</v>
      </c>
      <c r="E30" t="s">
        <v>8</v>
      </c>
    </row>
    <row r="31" spans="1:5" x14ac:dyDescent="0.3">
      <c r="A31">
        <v>30</v>
      </c>
      <c r="B31" t="s">
        <v>52</v>
      </c>
      <c r="C31" t="s">
        <v>37</v>
      </c>
      <c r="D31" t="s">
        <v>7</v>
      </c>
      <c r="E31" t="s">
        <v>11</v>
      </c>
    </row>
    <row r="32" spans="1:5" x14ac:dyDescent="0.3">
      <c r="A32">
        <v>31</v>
      </c>
      <c r="B32" t="s">
        <v>5</v>
      </c>
      <c r="C32" t="s">
        <v>6</v>
      </c>
      <c r="D32" t="s">
        <v>7</v>
      </c>
      <c r="E32" t="s">
        <v>8</v>
      </c>
    </row>
    <row r="33" spans="1:5" x14ac:dyDescent="0.3">
      <c r="A33">
        <v>32</v>
      </c>
      <c r="B33" t="s">
        <v>9</v>
      </c>
      <c r="C33" t="s">
        <v>10</v>
      </c>
      <c r="D33" t="s">
        <v>7</v>
      </c>
      <c r="E33" t="s">
        <v>11</v>
      </c>
    </row>
    <row r="34" spans="1:5" x14ac:dyDescent="0.3">
      <c r="A34">
        <v>33</v>
      </c>
      <c r="B34" t="s">
        <v>12</v>
      </c>
      <c r="C34" t="s">
        <v>13</v>
      </c>
      <c r="D34" t="s">
        <v>7</v>
      </c>
      <c r="E34" t="s">
        <v>8</v>
      </c>
    </row>
    <row r="35" spans="1:5" x14ac:dyDescent="0.3">
      <c r="A35">
        <v>34</v>
      </c>
      <c r="B35" t="s">
        <v>14</v>
      </c>
      <c r="C35" t="s">
        <v>15</v>
      </c>
      <c r="D35" t="s">
        <v>7</v>
      </c>
      <c r="E35" t="s">
        <v>11</v>
      </c>
    </row>
    <row r="36" spans="1:5" x14ac:dyDescent="0.3">
      <c r="A36">
        <v>35</v>
      </c>
      <c r="B36" t="s">
        <v>16</v>
      </c>
      <c r="C36" t="s">
        <v>17</v>
      </c>
      <c r="D36" t="s">
        <v>7</v>
      </c>
      <c r="E36" t="s">
        <v>8</v>
      </c>
    </row>
    <row r="37" spans="1:5" x14ac:dyDescent="0.3">
      <c r="A37">
        <v>36</v>
      </c>
      <c r="B37" t="s">
        <v>18</v>
      </c>
      <c r="C37" t="s">
        <v>19</v>
      </c>
      <c r="D37" t="s">
        <v>7</v>
      </c>
      <c r="E37" t="s">
        <v>11</v>
      </c>
    </row>
    <row r="38" spans="1:5" x14ac:dyDescent="0.3">
      <c r="A38">
        <v>37</v>
      </c>
      <c r="B38" t="s">
        <v>20</v>
      </c>
      <c r="C38" t="s">
        <v>21</v>
      </c>
      <c r="D38" t="s">
        <v>7</v>
      </c>
      <c r="E38" t="s">
        <v>8</v>
      </c>
    </row>
    <row r="39" spans="1:5" x14ac:dyDescent="0.3">
      <c r="A39">
        <v>38</v>
      </c>
      <c r="B39" t="s">
        <v>22</v>
      </c>
      <c r="C39" t="s">
        <v>23</v>
      </c>
      <c r="D39" t="s">
        <v>7</v>
      </c>
      <c r="E39" t="s">
        <v>11</v>
      </c>
    </row>
    <row r="40" spans="1:5" x14ac:dyDescent="0.3">
      <c r="A40">
        <v>39</v>
      </c>
      <c r="B40" t="s">
        <v>24</v>
      </c>
      <c r="C40" t="s">
        <v>25</v>
      </c>
      <c r="D40" t="s">
        <v>7</v>
      </c>
      <c r="E40" t="s">
        <v>8</v>
      </c>
    </row>
    <row r="41" spans="1:5" x14ac:dyDescent="0.3">
      <c r="A41">
        <v>40</v>
      </c>
      <c r="B41" t="s">
        <v>26</v>
      </c>
      <c r="C41" t="s">
        <v>27</v>
      </c>
      <c r="D41" t="s">
        <v>7</v>
      </c>
      <c r="E41" t="s">
        <v>11</v>
      </c>
    </row>
    <row r="42" spans="1:5" x14ac:dyDescent="0.3">
      <c r="A42">
        <v>41</v>
      </c>
      <c r="B42" t="s">
        <v>28</v>
      </c>
      <c r="C42" t="s">
        <v>29</v>
      </c>
      <c r="D42" t="s">
        <v>7</v>
      </c>
      <c r="E42" t="s">
        <v>8</v>
      </c>
    </row>
    <row r="43" spans="1:5" x14ac:dyDescent="0.3">
      <c r="A43">
        <v>42</v>
      </c>
      <c r="B43" t="s">
        <v>30</v>
      </c>
      <c r="C43" t="s">
        <v>31</v>
      </c>
      <c r="D43" t="s">
        <v>7</v>
      </c>
      <c r="E43" t="s">
        <v>11</v>
      </c>
    </row>
    <row r="44" spans="1:5" x14ac:dyDescent="0.3">
      <c r="A44">
        <v>43</v>
      </c>
      <c r="B44" t="s">
        <v>32</v>
      </c>
      <c r="C44" t="s">
        <v>33</v>
      </c>
      <c r="D44" t="s">
        <v>7</v>
      </c>
      <c r="E44" t="s">
        <v>8</v>
      </c>
    </row>
    <row r="45" spans="1:5" x14ac:dyDescent="0.3">
      <c r="A45">
        <v>44</v>
      </c>
      <c r="B45" t="s">
        <v>34</v>
      </c>
      <c r="C45" t="s">
        <v>35</v>
      </c>
      <c r="D45" t="s">
        <v>7</v>
      </c>
      <c r="E45" t="s">
        <v>11</v>
      </c>
    </row>
    <row r="46" spans="1:5" x14ac:dyDescent="0.3">
      <c r="A46">
        <v>45</v>
      </c>
      <c r="B46" t="s">
        <v>36</v>
      </c>
      <c r="C46" t="s">
        <v>37</v>
      </c>
      <c r="D46" t="s">
        <v>7</v>
      </c>
      <c r="E46" t="s">
        <v>8</v>
      </c>
    </row>
    <row r="47" spans="1:5" x14ac:dyDescent="0.3">
      <c r="A47">
        <v>46</v>
      </c>
      <c r="B47" t="s">
        <v>38</v>
      </c>
      <c r="C47" t="s">
        <v>6</v>
      </c>
      <c r="D47" t="s">
        <v>7</v>
      </c>
      <c r="E47" t="s">
        <v>11</v>
      </c>
    </row>
    <row r="48" spans="1:5" x14ac:dyDescent="0.3">
      <c r="A48">
        <v>47</v>
      </c>
      <c r="B48" t="s">
        <v>39</v>
      </c>
      <c r="C48" t="s">
        <v>10</v>
      </c>
      <c r="D48" t="s">
        <v>7</v>
      </c>
      <c r="E48" t="s">
        <v>8</v>
      </c>
    </row>
    <row r="49" spans="1:5" x14ac:dyDescent="0.3">
      <c r="A49">
        <v>48</v>
      </c>
      <c r="B49" t="s">
        <v>40</v>
      </c>
      <c r="C49" t="s">
        <v>13</v>
      </c>
      <c r="D49" t="s">
        <v>7</v>
      </c>
      <c r="E49" t="s">
        <v>11</v>
      </c>
    </row>
    <row r="50" spans="1:5" x14ac:dyDescent="0.3">
      <c r="A50">
        <v>49</v>
      </c>
      <c r="B50" t="s">
        <v>41</v>
      </c>
      <c r="C50" t="s">
        <v>15</v>
      </c>
      <c r="D50" t="s">
        <v>7</v>
      </c>
      <c r="E50" t="s">
        <v>8</v>
      </c>
    </row>
    <row r="51" spans="1:5" x14ac:dyDescent="0.3">
      <c r="A51">
        <v>50</v>
      </c>
      <c r="B51" t="s">
        <v>42</v>
      </c>
      <c r="C51" t="s">
        <v>17</v>
      </c>
      <c r="D51" t="s">
        <v>7</v>
      </c>
      <c r="E51" t="s">
        <v>11</v>
      </c>
    </row>
    <row r="52" spans="1:5" x14ac:dyDescent="0.3">
      <c r="A52">
        <v>51</v>
      </c>
      <c r="B52" t="s">
        <v>43</v>
      </c>
      <c r="C52" t="s">
        <v>19</v>
      </c>
      <c r="D52" t="s">
        <v>7</v>
      </c>
      <c r="E52" t="s">
        <v>8</v>
      </c>
    </row>
    <row r="53" spans="1:5" x14ac:dyDescent="0.3">
      <c r="A53">
        <v>52</v>
      </c>
      <c r="B53" t="s">
        <v>44</v>
      </c>
      <c r="C53" t="s">
        <v>21</v>
      </c>
      <c r="D53" t="s">
        <v>7</v>
      </c>
      <c r="E53" t="s">
        <v>11</v>
      </c>
    </row>
    <row r="54" spans="1:5" x14ac:dyDescent="0.3">
      <c r="A54">
        <v>53</v>
      </c>
      <c r="B54" t="s">
        <v>45</v>
      </c>
      <c r="C54" t="s">
        <v>23</v>
      </c>
      <c r="D54" t="s">
        <v>7</v>
      </c>
      <c r="E54" t="s">
        <v>8</v>
      </c>
    </row>
    <row r="55" spans="1:5" x14ac:dyDescent="0.3">
      <c r="A55">
        <v>54</v>
      </c>
      <c r="B55" t="s">
        <v>46</v>
      </c>
      <c r="C55" t="s">
        <v>25</v>
      </c>
      <c r="D55" t="s">
        <v>7</v>
      </c>
      <c r="E55" t="s">
        <v>11</v>
      </c>
    </row>
    <row r="56" spans="1:5" x14ac:dyDescent="0.3">
      <c r="A56">
        <v>55</v>
      </c>
      <c r="B56" t="s">
        <v>47</v>
      </c>
      <c r="C56" t="s">
        <v>27</v>
      </c>
      <c r="D56" t="s">
        <v>7</v>
      </c>
      <c r="E56" t="s">
        <v>8</v>
      </c>
    </row>
    <row r="57" spans="1:5" x14ac:dyDescent="0.3">
      <c r="A57">
        <v>56</v>
      </c>
      <c r="B57" t="s">
        <v>48</v>
      </c>
      <c r="C57" t="s">
        <v>29</v>
      </c>
      <c r="D57" t="s">
        <v>7</v>
      </c>
      <c r="E57" t="s">
        <v>11</v>
      </c>
    </row>
    <row r="58" spans="1:5" x14ac:dyDescent="0.3">
      <c r="A58">
        <v>57</v>
      </c>
      <c r="B58" t="s">
        <v>49</v>
      </c>
      <c r="C58" t="s">
        <v>31</v>
      </c>
      <c r="D58" t="s">
        <v>7</v>
      </c>
      <c r="E58" t="s">
        <v>8</v>
      </c>
    </row>
    <row r="59" spans="1:5" x14ac:dyDescent="0.3">
      <c r="A59">
        <v>58</v>
      </c>
      <c r="B59" t="s">
        <v>50</v>
      </c>
      <c r="C59" t="s">
        <v>33</v>
      </c>
      <c r="D59" t="s">
        <v>7</v>
      </c>
      <c r="E59" t="s">
        <v>11</v>
      </c>
    </row>
    <row r="60" spans="1:5" x14ac:dyDescent="0.3">
      <c r="A60">
        <v>59</v>
      </c>
      <c r="B60" t="s">
        <v>51</v>
      </c>
      <c r="C60" t="s">
        <v>35</v>
      </c>
      <c r="D60" t="s">
        <v>7</v>
      </c>
      <c r="E60" t="s">
        <v>8</v>
      </c>
    </row>
    <row r="61" spans="1:5" x14ac:dyDescent="0.3">
      <c r="A61">
        <v>60</v>
      </c>
      <c r="B61" t="s">
        <v>52</v>
      </c>
      <c r="C61" t="s">
        <v>37</v>
      </c>
      <c r="D61" t="s">
        <v>7</v>
      </c>
      <c r="E61" t="s">
        <v>11</v>
      </c>
    </row>
    <row r="62" spans="1:5" x14ac:dyDescent="0.3">
      <c r="A62">
        <v>61</v>
      </c>
      <c r="B62" t="s">
        <v>5</v>
      </c>
      <c r="C62" t="s">
        <v>6</v>
      </c>
      <c r="D62" t="s">
        <v>7</v>
      </c>
      <c r="E62" t="s">
        <v>8</v>
      </c>
    </row>
    <row r="63" spans="1:5" x14ac:dyDescent="0.3">
      <c r="A63">
        <v>62</v>
      </c>
      <c r="B63" t="s">
        <v>9</v>
      </c>
      <c r="C63" t="s">
        <v>10</v>
      </c>
      <c r="D63" t="s">
        <v>7</v>
      </c>
      <c r="E63" t="s">
        <v>11</v>
      </c>
    </row>
    <row r="64" spans="1:5" x14ac:dyDescent="0.3">
      <c r="A64">
        <v>63</v>
      </c>
      <c r="B64" t="s">
        <v>12</v>
      </c>
      <c r="C64" t="s">
        <v>13</v>
      </c>
      <c r="D64" t="s">
        <v>7</v>
      </c>
      <c r="E64" t="s">
        <v>8</v>
      </c>
    </row>
    <row r="65" spans="1:5" x14ac:dyDescent="0.3">
      <c r="A65">
        <v>64</v>
      </c>
      <c r="B65" t="s">
        <v>14</v>
      </c>
      <c r="C65" t="s">
        <v>15</v>
      </c>
      <c r="D65" t="s">
        <v>7</v>
      </c>
      <c r="E65" t="s">
        <v>11</v>
      </c>
    </row>
    <row r="66" spans="1:5" x14ac:dyDescent="0.3">
      <c r="A66">
        <v>65</v>
      </c>
      <c r="B66" t="s">
        <v>16</v>
      </c>
      <c r="C66" t="s">
        <v>17</v>
      </c>
      <c r="D66" t="s">
        <v>7</v>
      </c>
      <c r="E66" t="s">
        <v>8</v>
      </c>
    </row>
    <row r="67" spans="1:5" x14ac:dyDescent="0.3">
      <c r="A67">
        <v>66</v>
      </c>
      <c r="B67" t="s">
        <v>18</v>
      </c>
      <c r="C67" t="s">
        <v>19</v>
      </c>
      <c r="D67" t="s">
        <v>7</v>
      </c>
      <c r="E67" t="s">
        <v>11</v>
      </c>
    </row>
    <row r="68" spans="1:5" x14ac:dyDescent="0.3">
      <c r="A68">
        <v>67</v>
      </c>
      <c r="B68" t="s">
        <v>20</v>
      </c>
      <c r="C68" t="s">
        <v>21</v>
      </c>
      <c r="D68" t="s">
        <v>7</v>
      </c>
      <c r="E68" t="s">
        <v>8</v>
      </c>
    </row>
    <row r="69" spans="1:5" x14ac:dyDescent="0.3">
      <c r="A69">
        <v>68</v>
      </c>
      <c r="B69" t="s">
        <v>22</v>
      </c>
      <c r="C69" t="s">
        <v>23</v>
      </c>
      <c r="D69" t="s">
        <v>7</v>
      </c>
      <c r="E69" t="s">
        <v>11</v>
      </c>
    </row>
    <row r="70" spans="1:5" x14ac:dyDescent="0.3">
      <c r="A70">
        <v>69</v>
      </c>
      <c r="B70" t="s">
        <v>24</v>
      </c>
      <c r="C70" t="s">
        <v>25</v>
      </c>
      <c r="D70" t="s">
        <v>7</v>
      </c>
      <c r="E70" t="s">
        <v>8</v>
      </c>
    </row>
    <row r="71" spans="1:5" x14ac:dyDescent="0.3">
      <c r="A71">
        <v>70</v>
      </c>
      <c r="B71" t="s">
        <v>26</v>
      </c>
      <c r="C71" t="s">
        <v>27</v>
      </c>
      <c r="D71" t="s">
        <v>7</v>
      </c>
      <c r="E71" t="s">
        <v>11</v>
      </c>
    </row>
    <row r="72" spans="1:5" x14ac:dyDescent="0.3">
      <c r="A72">
        <v>71</v>
      </c>
      <c r="B72" t="s">
        <v>28</v>
      </c>
      <c r="C72" t="s">
        <v>29</v>
      </c>
      <c r="D72" t="s">
        <v>7</v>
      </c>
      <c r="E72" t="s">
        <v>8</v>
      </c>
    </row>
    <row r="73" spans="1:5" x14ac:dyDescent="0.3">
      <c r="A73">
        <v>72</v>
      </c>
      <c r="B73" t="s">
        <v>30</v>
      </c>
      <c r="C73" t="s">
        <v>31</v>
      </c>
      <c r="D73" t="s">
        <v>7</v>
      </c>
      <c r="E73" t="s">
        <v>11</v>
      </c>
    </row>
    <row r="74" spans="1:5" x14ac:dyDescent="0.3">
      <c r="A74">
        <v>73</v>
      </c>
      <c r="B74" t="s">
        <v>32</v>
      </c>
      <c r="C74" t="s">
        <v>33</v>
      </c>
      <c r="D74" t="s">
        <v>7</v>
      </c>
      <c r="E74" t="s">
        <v>8</v>
      </c>
    </row>
    <row r="75" spans="1:5" x14ac:dyDescent="0.3">
      <c r="A75">
        <v>74</v>
      </c>
      <c r="B75" t="s">
        <v>34</v>
      </c>
      <c r="C75" t="s">
        <v>35</v>
      </c>
      <c r="D75" t="s">
        <v>7</v>
      </c>
      <c r="E75" t="s">
        <v>11</v>
      </c>
    </row>
    <row r="76" spans="1:5" x14ac:dyDescent="0.3">
      <c r="A76">
        <v>75</v>
      </c>
      <c r="B76" t="s">
        <v>36</v>
      </c>
      <c r="C76" t="s">
        <v>37</v>
      </c>
      <c r="D76" t="s">
        <v>7</v>
      </c>
      <c r="E76" t="s">
        <v>8</v>
      </c>
    </row>
    <row r="77" spans="1:5" x14ac:dyDescent="0.3">
      <c r="A77">
        <v>76</v>
      </c>
      <c r="B77" t="s">
        <v>38</v>
      </c>
      <c r="C77" t="s">
        <v>6</v>
      </c>
      <c r="D77" t="s">
        <v>7</v>
      </c>
      <c r="E77" t="s">
        <v>11</v>
      </c>
    </row>
    <row r="78" spans="1:5" x14ac:dyDescent="0.3">
      <c r="A78">
        <v>77</v>
      </c>
      <c r="B78" t="s">
        <v>39</v>
      </c>
      <c r="C78" t="s">
        <v>10</v>
      </c>
      <c r="D78" t="s">
        <v>7</v>
      </c>
      <c r="E78" t="s">
        <v>8</v>
      </c>
    </row>
    <row r="79" spans="1:5" x14ac:dyDescent="0.3">
      <c r="A79">
        <v>78</v>
      </c>
      <c r="B79" t="s">
        <v>40</v>
      </c>
      <c r="C79" t="s">
        <v>13</v>
      </c>
      <c r="D79" t="s">
        <v>7</v>
      </c>
      <c r="E79" t="s">
        <v>11</v>
      </c>
    </row>
    <row r="80" spans="1:5" x14ac:dyDescent="0.3">
      <c r="A80">
        <v>79</v>
      </c>
      <c r="B80" t="s">
        <v>41</v>
      </c>
      <c r="C80" t="s">
        <v>15</v>
      </c>
      <c r="D80" t="s">
        <v>7</v>
      </c>
      <c r="E80" t="s">
        <v>8</v>
      </c>
    </row>
    <row r="81" spans="1:5" x14ac:dyDescent="0.3">
      <c r="A81">
        <v>80</v>
      </c>
      <c r="B81" t="s">
        <v>42</v>
      </c>
      <c r="C81" t="s">
        <v>17</v>
      </c>
      <c r="D81" t="s">
        <v>7</v>
      </c>
      <c r="E81" t="s">
        <v>11</v>
      </c>
    </row>
    <row r="82" spans="1:5" x14ac:dyDescent="0.3">
      <c r="A82">
        <v>81</v>
      </c>
      <c r="B82" t="s">
        <v>43</v>
      </c>
      <c r="C82" t="s">
        <v>19</v>
      </c>
      <c r="D82" t="s">
        <v>7</v>
      </c>
      <c r="E82" t="s">
        <v>8</v>
      </c>
    </row>
    <row r="83" spans="1:5" x14ac:dyDescent="0.3">
      <c r="A83">
        <v>82</v>
      </c>
      <c r="B83" t="s">
        <v>44</v>
      </c>
      <c r="C83" t="s">
        <v>21</v>
      </c>
      <c r="D83" t="s">
        <v>7</v>
      </c>
      <c r="E83" t="s">
        <v>11</v>
      </c>
    </row>
    <row r="84" spans="1:5" x14ac:dyDescent="0.3">
      <c r="A84">
        <v>83</v>
      </c>
      <c r="B84" t="s">
        <v>45</v>
      </c>
      <c r="C84" t="s">
        <v>23</v>
      </c>
      <c r="D84" t="s">
        <v>7</v>
      </c>
      <c r="E84" t="s">
        <v>8</v>
      </c>
    </row>
    <row r="85" spans="1:5" x14ac:dyDescent="0.3">
      <c r="A85">
        <v>84</v>
      </c>
      <c r="B85" t="s">
        <v>46</v>
      </c>
      <c r="C85" t="s">
        <v>25</v>
      </c>
      <c r="D85" t="s">
        <v>7</v>
      </c>
      <c r="E85" t="s">
        <v>11</v>
      </c>
    </row>
    <row r="86" spans="1:5" x14ac:dyDescent="0.3">
      <c r="A86">
        <v>85</v>
      </c>
      <c r="B86" t="s">
        <v>47</v>
      </c>
      <c r="C86" t="s">
        <v>27</v>
      </c>
      <c r="D86" t="s">
        <v>7</v>
      </c>
      <c r="E86" t="s">
        <v>8</v>
      </c>
    </row>
    <row r="87" spans="1:5" x14ac:dyDescent="0.3">
      <c r="A87">
        <v>86</v>
      </c>
      <c r="B87" t="s">
        <v>48</v>
      </c>
      <c r="C87" t="s">
        <v>29</v>
      </c>
      <c r="D87" t="s">
        <v>7</v>
      </c>
      <c r="E87" t="s">
        <v>11</v>
      </c>
    </row>
    <row r="88" spans="1:5" x14ac:dyDescent="0.3">
      <c r="A88">
        <v>87</v>
      </c>
      <c r="B88" t="s">
        <v>49</v>
      </c>
      <c r="C88" t="s">
        <v>31</v>
      </c>
      <c r="D88" t="s">
        <v>7</v>
      </c>
      <c r="E88" t="s">
        <v>8</v>
      </c>
    </row>
    <row r="89" spans="1:5" x14ac:dyDescent="0.3">
      <c r="A89">
        <v>88</v>
      </c>
      <c r="B89" t="s">
        <v>50</v>
      </c>
      <c r="C89" t="s">
        <v>33</v>
      </c>
      <c r="D89" t="s">
        <v>7</v>
      </c>
      <c r="E89" t="s">
        <v>11</v>
      </c>
    </row>
    <row r="90" spans="1:5" x14ac:dyDescent="0.3">
      <c r="A90">
        <v>89</v>
      </c>
      <c r="B90" t="s">
        <v>51</v>
      </c>
      <c r="C90" t="s">
        <v>35</v>
      </c>
      <c r="D90" t="s">
        <v>7</v>
      </c>
      <c r="E90" t="s">
        <v>8</v>
      </c>
    </row>
    <row r="91" spans="1:5" x14ac:dyDescent="0.3">
      <c r="A91">
        <v>90</v>
      </c>
      <c r="B91" t="s">
        <v>52</v>
      </c>
      <c r="C91" t="s">
        <v>37</v>
      </c>
      <c r="D91" t="s">
        <v>7</v>
      </c>
      <c r="E91" t="s">
        <v>11</v>
      </c>
    </row>
    <row r="92" spans="1:5" x14ac:dyDescent="0.3">
      <c r="A92">
        <v>91</v>
      </c>
      <c r="B92" t="s">
        <v>5</v>
      </c>
      <c r="C92" t="s">
        <v>6</v>
      </c>
      <c r="D92" t="s">
        <v>7</v>
      </c>
      <c r="E92" t="s">
        <v>8</v>
      </c>
    </row>
    <row r="93" spans="1:5" x14ac:dyDescent="0.3">
      <c r="A93">
        <v>92</v>
      </c>
      <c r="B93" t="s">
        <v>9</v>
      </c>
      <c r="C93" t="s">
        <v>10</v>
      </c>
      <c r="D93" t="s">
        <v>7</v>
      </c>
      <c r="E93" t="s">
        <v>11</v>
      </c>
    </row>
    <row r="94" spans="1:5" x14ac:dyDescent="0.3">
      <c r="A94">
        <v>93</v>
      </c>
      <c r="B94" t="s">
        <v>12</v>
      </c>
      <c r="C94" t="s">
        <v>13</v>
      </c>
      <c r="D94" t="s">
        <v>7</v>
      </c>
      <c r="E94" t="s">
        <v>8</v>
      </c>
    </row>
    <row r="95" spans="1:5" x14ac:dyDescent="0.3">
      <c r="A95">
        <v>94</v>
      </c>
      <c r="B95" t="s">
        <v>14</v>
      </c>
      <c r="C95" t="s">
        <v>15</v>
      </c>
      <c r="D95" t="s">
        <v>7</v>
      </c>
      <c r="E95" t="s">
        <v>11</v>
      </c>
    </row>
    <row r="96" spans="1:5" x14ac:dyDescent="0.3">
      <c r="A96">
        <v>95</v>
      </c>
      <c r="B96" t="s">
        <v>16</v>
      </c>
      <c r="C96" t="s">
        <v>17</v>
      </c>
      <c r="D96" t="s">
        <v>7</v>
      </c>
      <c r="E96" t="s">
        <v>8</v>
      </c>
    </row>
    <row r="97" spans="1:5" x14ac:dyDescent="0.3">
      <c r="A97">
        <v>96</v>
      </c>
      <c r="B97" t="s">
        <v>18</v>
      </c>
      <c r="C97" t="s">
        <v>19</v>
      </c>
      <c r="D97" t="s">
        <v>7</v>
      </c>
      <c r="E97" t="s">
        <v>11</v>
      </c>
    </row>
    <row r="98" spans="1:5" x14ac:dyDescent="0.3">
      <c r="A98">
        <v>97</v>
      </c>
      <c r="B98" t="s">
        <v>20</v>
      </c>
      <c r="C98" t="s">
        <v>21</v>
      </c>
      <c r="D98" t="s">
        <v>7</v>
      </c>
      <c r="E98" t="s">
        <v>8</v>
      </c>
    </row>
    <row r="99" spans="1:5" x14ac:dyDescent="0.3">
      <c r="A99">
        <v>98</v>
      </c>
      <c r="B99" t="s">
        <v>22</v>
      </c>
      <c r="C99" t="s">
        <v>23</v>
      </c>
      <c r="D99" t="s">
        <v>7</v>
      </c>
      <c r="E99" t="s">
        <v>11</v>
      </c>
    </row>
    <row r="100" spans="1:5" x14ac:dyDescent="0.3">
      <c r="A100">
        <v>99</v>
      </c>
      <c r="B100" t="s">
        <v>24</v>
      </c>
      <c r="C100" t="s">
        <v>25</v>
      </c>
      <c r="D100" t="s">
        <v>7</v>
      </c>
      <c r="E100" t="s">
        <v>8</v>
      </c>
    </row>
    <row r="101" spans="1:5" x14ac:dyDescent="0.3">
      <c r="A101">
        <v>100</v>
      </c>
      <c r="B101" t="s">
        <v>26</v>
      </c>
      <c r="C101" t="s">
        <v>27</v>
      </c>
      <c r="D101" t="s">
        <v>7</v>
      </c>
      <c r="E101" t="s">
        <v>11</v>
      </c>
    </row>
  </sheetData>
  <autoFilter ref="A1:E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>
      <pane ySplit="1" topLeftCell="A2" activePane="bottomLeft" state="frozen"/>
      <selection pane="bottomLeft" activeCell="E1" sqref="E1"/>
    </sheetView>
  </sheetViews>
  <sheetFormatPr defaultRowHeight="14.4" x14ac:dyDescent="0.3"/>
  <cols>
    <col min="1" max="1" width="12" customWidth="1"/>
    <col min="2" max="2" width="23" customWidth="1"/>
    <col min="3" max="3" width="13" customWidth="1"/>
    <col min="4" max="4" width="16" customWidth="1"/>
  </cols>
  <sheetData>
    <row r="1" spans="1:4" x14ac:dyDescent="0.3">
      <c r="A1" s="5" t="s">
        <v>53</v>
      </c>
      <c r="B1" s="5" t="s">
        <v>54</v>
      </c>
      <c r="C1" s="5" t="s">
        <v>55</v>
      </c>
      <c r="D1" s="5" t="s">
        <v>56</v>
      </c>
    </row>
    <row r="2" spans="1:4" x14ac:dyDescent="0.3">
      <c r="A2">
        <v>101</v>
      </c>
      <c r="B2" t="s">
        <v>57</v>
      </c>
      <c r="C2" t="s">
        <v>58</v>
      </c>
      <c r="D2" s="2">
        <v>3500</v>
      </c>
    </row>
    <row r="3" spans="1:4" x14ac:dyDescent="0.3">
      <c r="A3">
        <v>102</v>
      </c>
      <c r="B3" t="s">
        <v>59</v>
      </c>
      <c r="C3" t="s">
        <v>58</v>
      </c>
      <c r="D3" s="2">
        <v>1200</v>
      </c>
    </row>
    <row r="4" spans="1:4" x14ac:dyDescent="0.3">
      <c r="A4">
        <v>103</v>
      </c>
      <c r="B4" t="s">
        <v>60</v>
      </c>
      <c r="C4" t="s">
        <v>58</v>
      </c>
      <c r="D4" s="2">
        <v>180</v>
      </c>
    </row>
    <row r="5" spans="1:4" x14ac:dyDescent="0.3">
      <c r="A5">
        <v>104</v>
      </c>
      <c r="B5" t="s">
        <v>61</v>
      </c>
      <c r="C5" t="s">
        <v>58</v>
      </c>
      <c r="D5" s="2">
        <v>90</v>
      </c>
    </row>
    <row r="6" spans="1:4" x14ac:dyDescent="0.3">
      <c r="A6">
        <v>105</v>
      </c>
      <c r="B6" t="s">
        <v>62</v>
      </c>
      <c r="C6" t="s">
        <v>63</v>
      </c>
      <c r="D6" s="2">
        <v>850</v>
      </c>
    </row>
    <row r="7" spans="1:4" x14ac:dyDescent="0.3">
      <c r="A7">
        <v>106</v>
      </c>
      <c r="B7" t="s">
        <v>64</v>
      </c>
      <c r="C7" t="s">
        <v>63</v>
      </c>
      <c r="D7" s="2">
        <v>1100</v>
      </c>
    </row>
    <row r="8" spans="1:4" x14ac:dyDescent="0.3">
      <c r="A8">
        <v>107</v>
      </c>
      <c r="B8" t="s">
        <v>65</v>
      </c>
      <c r="C8" t="s">
        <v>66</v>
      </c>
      <c r="D8" s="2">
        <v>250</v>
      </c>
    </row>
    <row r="9" spans="1:4" x14ac:dyDescent="0.3">
      <c r="A9">
        <v>108</v>
      </c>
      <c r="B9" t="s">
        <v>67</v>
      </c>
      <c r="C9" t="s">
        <v>66</v>
      </c>
      <c r="D9" s="2">
        <v>2200</v>
      </c>
    </row>
    <row r="10" spans="1:4" x14ac:dyDescent="0.3">
      <c r="A10">
        <v>109</v>
      </c>
      <c r="B10" t="s">
        <v>68</v>
      </c>
      <c r="C10" t="s">
        <v>58</v>
      </c>
      <c r="D10" s="2">
        <v>950</v>
      </c>
    </row>
    <row r="11" spans="1:4" x14ac:dyDescent="0.3">
      <c r="A11">
        <v>110</v>
      </c>
      <c r="B11" t="s">
        <v>69</v>
      </c>
      <c r="C11" t="s">
        <v>70</v>
      </c>
      <c r="D11" s="2">
        <v>160</v>
      </c>
    </row>
    <row r="12" spans="1:4" x14ac:dyDescent="0.3">
      <c r="A12">
        <v>111</v>
      </c>
      <c r="B12" t="s">
        <v>71</v>
      </c>
      <c r="C12" t="s">
        <v>58</v>
      </c>
      <c r="D12" s="2">
        <v>320</v>
      </c>
    </row>
    <row r="13" spans="1:4" x14ac:dyDescent="0.3">
      <c r="A13">
        <v>112</v>
      </c>
      <c r="B13" t="s">
        <v>72</v>
      </c>
      <c r="C13" t="s">
        <v>66</v>
      </c>
      <c r="D13" s="2">
        <v>420</v>
      </c>
    </row>
    <row r="14" spans="1:4" x14ac:dyDescent="0.3">
      <c r="A14">
        <v>113</v>
      </c>
      <c r="B14" t="s">
        <v>73</v>
      </c>
      <c r="C14" t="s">
        <v>66</v>
      </c>
      <c r="D14" s="2">
        <v>1800</v>
      </c>
    </row>
    <row r="15" spans="1:4" x14ac:dyDescent="0.3">
      <c r="A15">
        <v>114</v>
      </c>
      <c r="B15" t="s">
        <v>74</v>
      </c>
      <c r="C15" t="s">
        <v>58</v>
      </c>
      <c r="D15" s="2">
        <v>450</v>
      </c>
    </row>
    <row r="16" spans="1:4" x14ac:dyDescent="0.3">
      <c r="A16">
        <v>115</v>
      </c>
      <c r="B16" t="s">
        <v>75</v>
      </c>
      <c r="C16" t="s">
        <v>58</v>
      </c>
      <c r="D16" s="2">
        <v>500</v>
      </c>
    </row>
    <row r="17" spans="1:4" x14ac:dyDescent="0.3">
      <c r="A17">
        <v>116</v>
      </c>
      <c r="B17" t="s">
        <v>76</v>
      </c>
      <c r="C17" t="s">
        <v>58</v>
      </c>
      <c r="D17" s="2">
        <v>350</v>
      </c>
    </row>
    <row r="18" spans="1:4" x14ac:dyDescent="0.3">
      <c r="A18">
        <v>117</v>
      </c>
      <c r="B18" t="s">
        <v>77</v>
      </c>
      <c r="C18" t="s">
        <v>70</v>
      </c>
      <c r="D18" s="2">
        <v>80</v>
      </c>
    </row>
    <row r="19" spans="1:4" x14ac:dyDescent="0.3">
      <c r="A19">
        <v>118</v>
      </c>
      <c r="B19" t="s">
        <v>78</v>
      </c>
      <c r="C19" t="s">
        <v>70</v>
      </c>
      <c r="D19" s="2">
        <v>140</v>
      </c>
    </row>
    <row r="20" spans="1:4" x14ac:dyDescent="0.3">
      <c r="A20">
        <v>119</v>
      </c>
      <c r="B20" t="s">
        <v>79</v>
      </c>
      <c r="C20" t="s">
        <v>66</v>
      </c>
      <c r="D20" s="2">
        <v>300</v>
      </c>
    </row>
    <row r="21" spans="1:4" x14ac:dyDescent="0.3">
      <c r="A21">
        <v>120</v>
      </c>
      <c r="B21" t="s">
        <v>80</v>
      </c>
      <c r="C21" t="s">
        <v>58</v>
      </c>
      <c r="D21" s="2">
        <v>280</v>
      </c>
    </row>
    <row r="22" spans="1:4" x14ac:dyDescent="0.3">
      <c r="A22">
        <v>121</v>
      </c>
      <c r="B22" t="s">
        <v>81</v>
      </c>
      <c r="C22" t="s">
        <v>58</v>
      </c>
      <c r="D22" s="2">
        <v>260</v>
      </c>
    </row>
    <row r="23" spans="1:4" x14ac:dyDescent="0.3">
      <c r="A23">
        <v>122</v>
      </c>
      <c r="B23" t="s">
        <v>82</v>
      </c>
      <c r="C23" t="s">
        <v>58</v>
      </c>
      <c r="D23" s="2">
        <v>700</v>
      </c>
    </row>
    <row r="24" spans="1:4" x14ac:dyDescent="0.3">
      <c r="A24">
        <v>123</v>
      </c>
      <c r="B24" t="s">
        <v>83</v>
      </c>
      <c r="C24" t="s">
        <v>63</v>
      </c>
      <c r="D24" s="2">
        <v>1450</v>
      </c>
    </row>
    <row r="25" spans="1:4" x14ac:dyDescent="0.3">
      <c r="A25">
        <v>124</v>
      </c>
      <c r="B25" t="s">
        <v>84</v>
      </c>
      <c r="C25" t="s">
        <v>63</v>
      </c>
      <c r="D25" s="2">
        <v>1300</v>
      </c>
    </row>
    <row r="26" spans="1:4" x14ac:dyDescent="0.3">
      <c r="A26">
        <v>125</v>
      </c>
      <c r="B26" t="s">
        <v>85</v>
      </c>
      <c r="C26" t="s">
        <v>63</v>
      </c>
      <c r="D26" s="2">
        <v>180</v>
      </c>
    </row>
    <row r="27" spans="1:4" x14ac:dyDescent="0.3">
      <c r="A27">
        <v>126</v>
      </c>
      <c r="B27" t="s">
        <v>86</v>
      </c>
      <c r="C27" t="s">
        <v>58</v>
      </c>
      <c r="D27" s="2">
        <v>120</v>
      </c>
    </row>
    <row r="28" spans="1:4" x14ac:dyDescent="0.3">
      <c r="A28">
        <v>127</v>
      </c>
      <c r="B28" t="s">
        <v>87</v>
      </c>
      <c r="C28" t="s">
        <v>58</v>
      </c>
      <c r="D28" s="2">
        <v>70</v>
      </c>
    </row>
    <row r="29" spans="1:4" x14ac:dyDescent="0.3">
      <c r="A29">
        <v>128</v>
      </c>
      <c r="B29" t="s">
        <v>88</v>
      </c>
      <c r="C29" t="s">
        <v>66</v>
      </c>
      <c r="D29" s="2">
        <v>110</v>
      </c>
    </row>
    <row r="30" spans="1:4" x14ac:dyDescent="0.3">
      <c r="A30">
        <v>129</v>
      </c>
      <c r="B30" t="s">
        <v>89</v>
      </c>
      <c r="C30" t="s">
        <v>66</v>
      </c>
      <c r="D30" s="2">
        <v>650</v>
      </c>
    </row>
    <row r="31" spans="1:4" x14ac:dyDescent="0.3">
      <c r="A31">
        <v>130</v>
      </c>
      <c r="B31" t="s">
        <v>90</v>
      </c>
      <c r="C31" t="s">
        <v>58</v>
      </c>
      <c r="D31" s="2">
        <v>600</v>
      </c>
    </row>
    <row r="32" spans="1:4" x14ac:dyDescent="0.3">
      <c r="A32">
        <v>131</v>
      </c>
      <c r="B32" t="s">
        <v>149</v>
      </c>
      <c r="C32" t="s">
        <v>58</v>
      </c>
      <c r="D32" s="2">
        <v>3640</v>
      </c>
    </row>
    <row r="33" spans="1:4" x14ac:dyDescent="0.3">
      <c r="A33">
        <v>132</v>
      </c>
      <c r="B33" t="s">
        <v>150</v>
      </c>
      <c r="C33" t="s">
        <v>58</v>
      </c>
      <c r="D33" s="2">
        <v>1248</v>
      </c>
    </row>
    <row r="34" spans="1:4" x14ac:dyDescent="0.3">
      <c r="A34">
        <v>133</v>
      </c>
      <c r="B34" t="s">
        <v>151</v>
      </c>
      <c r="C34" t="s">
        <v>58</v>
      </c>
      <c r="D34" s="2">
        <v>187.2</v>
      </c>
    </row>
    <row r="35" spans="1:4" x14ac:dyDescent="0.3">
      <c r="A35">
        <v>134</v>
      </c>
      <c r="B35" t="s">
        <v>152</v>
      </c>
      <c r="C35" t="s">
        <v>58</v>
      </c>
      <c r="D35" s="2">
        <v>93.6</v>
      </c>
    </row>
    <row r="36" spans="1:4" x14ac:dyDescent="0.3">
      <c r="A36">
        <v>135</v>
      </c>
      <c r="B36" t="s">
        <v>153</v>
      </c>
      <c r="C36" t="s">
        <v>63</v>
      </c>
      <c r="D36" s="2">
        <v>884</v>
      </c>
    </row>
    <row r="37" spans="1:4" x14ac:dyDescent="0.3">
      <c r="A37">
        <v>136</v>
      </c>
      <c r="B37" t="s">
        <v>154</v>
      </c>
      <c r="C37" t="s">
        <v>63</v>
      </c>
      <c r="D37" s="2">
        <v>1144</v>
      </c>
    </row>
    <row r="38" spans="1:4" x14ac:dyDescent="0.3">
      <c r="A38">
        <v>137</v>
      </c>
      <c r="B38" t="s">
        <v>155</v>
      </c>
      <c r="C38" t="s">
        <v>66</v>
      </c>
      <c r="D38" s="2">
        <v>260</v>
      </c>
    </row>
    <row r="39" spans="1:4" x14ac:dyDescent="0.3">
      <c r="A39">
        <v>138</v>
      </c>
      <c r="B39" t="s">
        <v>156</v>
      </c>
      <c r="C39" t="s">
        <v>66</v>
      </c>
      <c r="D39" s="2">
        <v>2288</v>
      </c>
    </row>
    <row r="40" spans="1:4" x14ac:dyDescent="0.3">
      <c r="A40">
        <v>139</v>
      </c>
      <c r="B40" t="s">
        <v>157</v>
      </c>
      <c r="C40" t="s">
        <v>58</v>
      </c>
      <c r="D40" s="2">
        <v>988</v>
      </c>
    </row>
    <row r="41" spans="1:4" x14ac:dyDescent="0.3">
      <c r="A41">
        <v>140</v>
      </c>
      <c r="B41" t="s">
        <v>158</v>
      </c>
      <c r="C41" t="s">
        <v>70</v>
      </c>
      <c r="D41" s="2">
        <v>166.4</v>
      </c>
    </row>
    <row r="42" spans="1:4" x14ac:dyDescent="0.3">
      <c r="A42">
        <v>141</v>
      </c>
      <c r="B42" t="s">
        <v>160</v>
      </c>
      <c r="C42" t="s">
        <v>58</v>
      </c>
      <c r="D42" s="2">
        <v>332.8</v>
      </c>
    </row>
    <row r="43" spans="1:4" x14ac:dyDescent="0.3">
      <c r="A43">
        <v>142</v>
      </c>
      <c r="B43" t="s">
        <v>159</v>
      </c>
      <c r="C43" t="s">
        <v>66</v>
      </c>
      <c r="D43" s="2">
        <v>436.8</v>
      </c>
    </row>
    <row r="44" spans="1:4" x14ac:dyDescent="0.3">
      <c r="A44">
        <v>143</v>
      </c>
      <c r="B44" t="s">
        <v>161</v>
      </c>
      <c r="C44" t="s">
        <v>66</v>
      </c>
      <c r="D44" s="2">
        <v>1872</v>
      </c>
    </row>
    <row r="45" spans="1:4" x14ac:dyDescent="0.3">
      <c r="A45">
        <v>144</v>
      </c>
      <c r="B45" t="s">
        <v>162</v>
      </c>
      <c r="C45" t="s">
        <v>58</v>
      </c>
      <c r="D45" s="2">
        <v>468</v>
      </c>
    </row>
    <row r="46" spans="1:4" x14ac:dyDescent="0.3">
      <c r="A46">
        <v>145</v>
      </c>
      <c r="B46" t="s">
        <v>163</v>
      </c>
      <c r="C46" t="s">
        <v>58</v>
      </c>
      <c r="D46" s="2">
        <v>520</v>
      </c>
    </row>
    <row r="47" spans="1:4" x14ac:dyDescent="0.3">
      <c r="A47">
        <v>146</v>
      </c>
      <c r="B47" t="s">
        <v>164</v>
      </c>
      <c r="C47" t="s">
        <v>58</v>
      </c>
      <c r="D47" s="2">
        <v>364</v>
      </c>
    </row>
    <row r="48" spans="1:4" x14ac:dyDescent="0.3">
      <c r="A48">
        <v>147</v>
      </c>
      <c r="B48" t="s">
        <v>165</v>
      </c>
      <c r="C48" t="s">
        <v>70</v>
      </c>
      <c r="D48" s="2">
        <v>83.2</v>
      </c>
    </row>
    <row r="49" spans="1:4" x14ac:dyDescent="0.3">
      <c r="A49">
        <v>148</v>
      </c>
      <c r="B49" t="s">
        <v>166</v>
      </c>
      <c r="C49" t="s">
        <v>70</v>
      </c>
      <c r="D49" s="2">
        <v>145.6</v>
      </c>
    </row>
    <row r="50" spans="1:4" x14ac:dyDescent="0.3">
      <c r="A50">
        <v>149</v>
      </c>
      <c r="B50" t="s">
        <v>167</v>
      </c>
      <c r="C50" t="s">
        <v>66</v>
      </c>
      <c r="D50" s="2">
        <v>312</v>
      </c>
    </row>
    <row r="51" spans="1:4" x14ac:dyDescent="0.3">
      <c r="A51">
        <v>150</v>
      </c>
      <c r="B51" t="s">
        <v>169</v>
      </c>
      <c r="C51" t="s">
        <v>58</v>
      </c>
      <c r="D51" s="2">
        <v>291.2</v>
      </c>
    </row>
    <row r="52" spans="1:4" x14ac:dyDescent="0.3">
      <c r="A52">
        <v>151</v>
      </c>
      <c r="B52" t="s">
        <v>168</v>
      </c>
      <c r="C52" t="s">
        <v>58</v>
      </c>
      <c r="D52" s="2">
        <v>270.39999999999998</v>
      </c>
    </row>
    <row r="53" spans="1:4" x14ac:dyDescent="0.3">
      <c r="A53">
        <v>152</v>
      </c>
      <c r="B53" t="s">
        <v>170</v>
      </c>
      <c r="C53" t="s">
        <v>58</v>
      </c>
      <c r="D53" s="2">
        <v>728</v>
      </c>
    </row>
    <row r="54" spans="1:4" x14ac:dyDescent="0.3">
      <c r="A54">
        <v>153</v>
      </c>
      <c r="B54" t="s">
        <v>171</v>
      </c>
      <c r="C54" t="s">
        <v>63</v>
      </c>
      <c r="D54" s="2">
        <v>1508</v>
      </c>
    </row>
    <row r="55" spans="1:4" x14ac:dyDescent="0.3">
      <c r="A55">
        <v>154</v>
      </c>
      <c r="B55" t="s">
        <v>172</v>
      </c>
      <c r="C55" t="s">
        <v>63</v>
      </c>
      <c r="D55" s="2">
        <v>1352</v>
      </c>
    </row>
    <row r="56" spans="1:4" x14ac:dyDescent="0.3">
      <c r="A56">
        <v>155</v>
      </c>
      <c r="B56" t="s">
        <v>173</v>
      </c>
      <c r="C56" t="s">
        <v>63</v>
      </c>
      <c r="D56" s="2">
        <v>187.2</v>
      </c>
    </row>
    <row r="57" spans="1:4" x14ac:dyDescent="0.3">
      <c r="A57">
        <v>156</v>
      </c>
      <c r="B57" t="s">
        <v>174</v>
      </c>
      <c r="C57" t="s">
        <v>58</v>
      </c>
      <c r="D57" s="2">
        <v>124.8</v>
      </c>
    </row>
    <row r="58" spans="1:4" x14ac:dyDescent="0.3">
      <c r="A58">
        <v>157</v>
      </c>
      <c r="B58" t="s">
        <v>175</v>
      </c>
      <c r="C58" t="s">
        <v>58</v>
      </c>
      <c r="D58" s="2">
        <v>72.8</v>
      </c>
    </row>
    <row r="59" spans="1:4" x14ac:dyDescent="0.3">
      <c r="A59">
        <v>158</v>
      </c>
      <c r="B59" t="s">
        <v>176</v>
      </c>
      <c r="C59" t="s">
        <v>66</v>
      </c>
      <c r="D59" s="2">
        <v>114.4</v>
      </c>
    </row>
    <row r="60" spans="1:4" x14ac:dyDescent="0.3">
      <c r="A60">
        <v>159</v>
      </c>
      <c r="B60" t="s">
        <v>177</v>
      </c>
      <c r="C60" t="s">
        <v>66</v>
      </c>
      <c r="D60" s="2">
        <v>676</v>
      </c>
    </row>
    <row r="61" spans="1:4" x14ac:dyDescent="0.3">
      <c r="A61">
        <v>160</v>
      </c>
      <c r="B61" t="s">
        <v>178</v>
      </c>
      <c r="C61" t="s">
        <v>58</v>
      </c>
      <c r="D61" s="2">
        <v>624</v>
      </c>
    </row>
    <row r="62" spans="1:4" x14ac:dyDescent="0.3">
      <c r="A62">
        <v>161</v>
      </c>
      <c r="B62" t="s">
        <v>149</v>
      </c>
      <c r="C62" t="s">
        <v>58</v>
      </c>
      <c r="D62" s="2">
        <v>3780</v>
      </c>
    </row>
    <row r="63" spans="1:4" x14ac:dyDescent="0.3">
      <c r="A63">
        <v>162</v>
      </c>
      <c r="B63" t="s">
        <v>150</v>
      </c>
      <c r="C63" t="s">
        <v>58</v>
      </c>
      <c r="D63" s="2">
        <v>1296</v>
      </c>
    </row>
    <row r="64" spans="1:4" x14ac:dyDescent="0.3">
      <c r="A64">
        <v>163</v>
      </c>
      <c r="B64" t="s">
        <v>151</v>
      </c>
      <c r="C64" t="s">
        <v>58</v>
      </c>
      <c r="D64" s="2">
        <v>194.4</v>
      </c>
    </row>
    <row r="65" spans="1:4" x14ac:dyDescent="0.3">
      <c r="A65">
        <v>164</v>
      </c>
      <c r="B65" t="s">
        <v>152</v>
      </c>
      <c r="C65" t="s">
        <v>58</v>
      </c>
      <c r="D65" s="2">
        <v>97.2</v>
      </c>
    </row>
    <row r="66" spans="1:4" x14ac:dyDescent="0.3">
      <c r="A66">
        <v>165</v>
      </c>
      <c r="B66" t="s">
        <v>153</v>
      </c>
      <c r="C66" t="s">
        <v>63</v>
      </c>
      <c r="D66" s="2">
        <v>918</v>
      </c>
    </row>
    <row r="67" spans="1:4" x14ac:dyDescent="0.3">
      <c r="A67">
        <v>166</v>
      </c>
      <c r="B67" t="s">
        <v>154</v>
      </c>
      <c r="C67" t="s">
        <v>63</v>
      </c>
      <c r="D67" s="2">
        <v>1188</v>
      </c>
    </row>
    <row r="68" spans="1:4" x14ac:dyDescent="0.3">
      <c r="A68">
        <v>167</v>
      </c>
      <c r="B68" t="s">
        <v>155</v>
      </c>
      <c r="C68" t="s">
        <v>66</v>
      </c>
      <c r="D68" s="2">
        <v>270</v>
      </c>
    </row>
    <row r="69" spans="1:4" x14ac:dyDescent="0.3">
      <c r="A69">
        <v>168</v>
      </c>
      <c r="B69" t="s">
        <v>156</v>
      </c>
      <c r="C69" t="s">
        <v>66</v>
      </c>
      <c r="D69" s="2">
        <v>2376</v>
      </c>
    </row>
    <row r="70" spans="1:4" x14ac:dyDescent="0.3">
      <c r="A70">
        <v>169</v>
      </c>
      <c r="B70" t="s">
        <v>157</v>
      </c>
      <c r="C70" t="s">
        <v>58</v>
      </c>
      <c r="D70" s="2">
        <v>1026</v>
      </c>
    </row>
    <row r="71" spans="1:4" x14ac:dyDescent="0.3">
      <c r="A71">
        <v>170</v>
      </c>
      <c r="B71" t="s">
        <v>158</v>
      </c>
      <c r="C71" t="s">
        <v>70</v>
      </c>
      <c r="D71" s="2">
        <v>172.8</v>
      </c>
    </row>
    <row r="72" spans="1:4" x14ac:dyDescent="0.3">
      <c r="A72">
        <v>171</v>
      </c>
      <c r="B72" t="s">
        <v>160</v>
      </c>
      <c r="C72" t="s">
        <v>58</v>
      </c>
      <c r="D72" s="2">
        <v>345.6</v>
      </c>
    </row>
    <row r="73" spans="1:4" x14ac:dyDescent="0.3">
      <c r="A73">
        <v>172</v>
      </c>
      <c r="B73" t="s">
        <v>159</v>
      </c>
      <c r="C73" t="s">
        <v>66</v>
      </c>
      <c r="D73" s="2">
        <v>453.6</v>
      </c>
    </row>
    <row r="74" spans="1:4" x14ac:dyDescent="0.3">
      <c r="A74">
        <v>173</v>
      </c>
      <c r="B74" t="s">
        <v>161</v>
      </c>
      <c r="C74" t="s">
        <v>66</v>
      </c>
      <c r="D74" s="2">
        <v>1944</v>
      </c>
    </row>
    <row r="75" spans="1:4" x14ac:dyDescent="0.3">
      <c r="A75">
        <v>174</v>
      </c>
      <c r="B75" t="s">
        <v>162</v>
      </c>
      <c r="C75" t="s">
        <v>58</v>
      </c>
      <c r="D75" s="2">
        <v>486</v>
      </c>
    </row>
    <row r="76" spans="1:4" x14ac:dyDescent="0.3">
      <c r="A76">
        <v>175</v>
      </c>
      <c r="B76" t="s">
        <v>163</v>
      </c>
      <c r="C76" t="s">
        <v>58</v>
      </c>
      <c r="D76" s="2">
        <v>540</v>
      </c>
    </row>
    <row r="77" spans="1:4" x14ac:dyDescent="0.3">
      <c r="A77">
        <v>176</v>
      </c>
      <c r="B77" t="s">
        <v>164</v>
      </c>
      <c r="C77" t="s">
        <v>58</v>
      </c>
      <c r="D77" s="2">
        <v>378</v>
      </c>
    </row>
    <row r="78" spans="1:4" x14ac:dyDescent="0.3">
      <c r="A78">
        <v>177</v>
      </c>
      <c r="B78" t="s">
        <v>165</v>
      </c>
      <c r="C78" t="s">
        <v>70</v>
      </c>
      <c r="D78" s="2">
        <v>86.4</v>
      </c>
    </row>
    <row r="79" spans="1:4" x14ac:dyDescent="0.3">
      <c r="A79">
        <v>178</v>
      </c>
      <c r="B79" t="s">
        <v>166</v>
      </c>
      <c r="C79" t="s">
        <v>70</v>
      </c>
      <c r="D79" s="2">
        <v>151.19999999999999</v>
      </c>
    </row>
    <row r="80" spans="1:4" x14ac:dyDescent="0.3">
      <c r="A80">
        <v>179</v>
      </c>
      <c r="B80" t="s">
        <v>167</v>
      </c>
      <c r="C80" t="s">
        <v>66</v>
      </c>
      <c r="D80" s="2">
        <v>324</v>
      </c>
    </row>
    <row r="81" spans="1:4" x14ac:dyDescent="0.3">
      <c r="A81">
        <v>180</v>
      </c>
      <c r="B81" t="s">
        <v>169</v>
      </c>
      <c r="C81" t="s">
        <v>58</v>
      </c>
      <c r="D81" s="2">
        <v>302.39999999999998</v>
      </c>
    </row>
    <row r="82" spans="1:4" x14ac:dyDescent="0.3">
      <c r="A82">
        <v>181</v>
      </c>
      <c r="B82" t="s">
        <v>168</v>
      </c>
      <c r="C82" t="s">
        <v>58</v>
      </c>
      <c r="D82" s="2">
        <v>280.8</v>
      </c>
    </row>
    <row r="83" spans="1:4" x14ac:dyDescent="0.3">
      <c r="A83">
        <v>182</v>
      </c>
      <c r="B83" t="s">
        <v>170</v>
      </c>
      <c r="C83" t="s">
        <v>58</v>
      </c>
      <c r="D83" s="2">
        <v>756</v>
      </c>
    </row>
    <row r="84" spans="1:4" x14ac:dyDescent="0.3">
      <c r="A84">
        <v>183</v>
      </c>
      <c r="B84" t="s">
        <v>171</v>
      </c>
      <c r="C84" t="s">
        <v>63</v>
      </c>
      <c r="D84" s="2">
        <v>1566</v>
      </c>
    </row>
    <row r="85" spans="1:4" x14ac:dyDescent="0.3">
      <c r="A85">
        <v>184</v>
      </c>
      <c r="B85" t="s">
        <v>172</v>
      </c>
      <c r="C85" t="s">
        <v>63</v>
      </c>
      <c r="D85" s="2">
        <v>1404</v>
      </c>
    </row>
    <row r="86" spans="1:4" x14ac:dyDescent="0.3">
      <c r="A86">
        <v>185</v>
      </c>
      <c r="B86" t="s">
        <v>173</v>
      </c>
      <c r="C86" t="s">
        <v>63</v>
      </c>
      <c r="D86" s="2">
        <v>194.4</v>
      </c>
    </row>
    <row r="87" spans="1:4" x14ac:dyDescent="0.3">
      <c r="A87">
        <v>186</v>
      </c>
      <c r="B87" t="s">
        <v>174</v>
      </c>
      <c r="C87" t="s">
        <v>58</v>
      </c>
      <c r="D87" s="2">
        <v>129.6</v>
      </c>
    </row>
    <row r="88" spans="1:4" x14ac:dyDescent="0.3">
      <c r="A88">
        <v>187</v>
      </c>
      <c r="B88" t="s">
        <v>175</v>
      </c>
      <c r="C88" t="s">
        <v>58</v>
      </c>
      <c r="D88" s="2">
        <v>75.599999999999994</v>
      </c>
    </row>
    <row r="89" spans="1:4" x14ac:dyDescent="0.3">
      <c r="A89">
        <v>188</v>
      </c>
      <c r="B89" t="s">
        <v>176</v>
      </c>
      <c r="C89" t="s">
        <v>66</v>
      </c>
      <c r="D89" s="2">
        <v>118.8</v>
      </c>
    </row>
    <row r="90" spans="1:4" x14ac:dyDescent="0.3">
      <c r="A90">
        <v>189</v>
      </c>
      <c r="B90" t="s">
        <v>177</v>
      </c>
      <c r="C90" t="s">
        <v>66</v>
      </c>
      <c r="D90" s="2">
        <v>702</v>
      </c>
    </row>
    <row r="91" spans="1:4" x14ac:dyDescent="0.3">
      <c r="A91">
        <v>190</v>
      </c>
      <c r="B91" t="s">
        <v>178</v>
      </c>
      <c r="C91" t="s">
        <v>58</v>
      </c>
      <c r="D91" s="2">
        <v>648</v>
      </c>
    </row>
    <row r="92" spans="1:4" x14ac:dyDescent="0.3">
      <c r="A92">
        <v>191</v>
      </c>
      <c r="B92" t="s">
        <v>149</v>
      </c>
      <c r="C92" t="s">
        <v>58</v>
      </c>
      <c r="D92" s="2">
        <v>3920</v>
      </c>
    </row>
    <row r="93" spans="1:4" x14ac:dyDescent="0.3">
      <c r="A93">
        <v>192</v>
      </c>
      <c r="B93" t="s">
        <v>150</v>
      </c>
      <c r="C93" t="s">
        <v>58</v>
      </c>
      <c r="D93" s="2">
        <v>1344</v>
      </c>
    </row>
    <row r="94" spans="1:4" x14ac:dyDescent="0.3">
      <c r="A94">
        <v>193</v>
      </c>
      <c r="B94" t="s">
        <v>151</v>
      </c>
      <c r="C94" t="s">
        <v>58</v>
      </c>
      <c r="D94" s="2">
        <v>201.6</v>
      </c>
    </row>
    <row r="95" spans="1:4" x14ac:dyDescent="0.3">
      <c r="A95">
        <v>194</v>
      </c>
      <c r="B95" t="s">
        <v>152</v>
      </c>
      <c r="C95" t="s">
        <v>58</v>
      </c>
      <c r="D95" s="2">
        <v>100.8</v>
      </c>
    </row>
    <row r="96" spans="1:4" x14ac:dyDescent="0.3">
      <c r="A96">
        <v>195</v>
      </c>
      <c r="B96" t="s">
        <v>153</v>
      </c>
      <c r="C96" t="s">
        <v>63</v>
      </c>
      <c r="D96" s="2">
        <v>952</v>
      </c>
    </row>
    <row r="97" spans="1:4" x14ac:dyDescent="0.3">
      <c r="A97">
        <v>196</v>
      </c>
      <c r="B97" t="s">
        <v>154</v>
      </c>
      <c r="C97" t="s">
        <v>63</v>
      </c>
      <c r="D97" s="2">
        <v>1232</v>
      </c>
    </row>
    <row r="98" spans="1:4" x14ac:dyDescent="0.3">
      <c r="A98">
        <v>197</v>
      </c>
      <c r="B98" t="s">
        <v>155</v>
      </c>
      <c r="C98" t="s">
        <v>66</v>
      </c>
      <c r="D98" s="2">
        <v>280</v>
      </c>
    </row>
    <row r="99" spans="1:4" x14ac:dyDescent="0.3">
      <c r="A99">
        <v>198</v>
      </c>
      <c r="B99" t="s">
        <v>156</v>
      </c>
      <c r="C99" t="s">
        <v>66</v>
      </c>
      <c r="D99" s="2">
        <v>2464</v>
      </c>
    </row>
    <row r="100" spans="1:4" x14ac:dyDescent="0.3">
      <c r="A100">
        <v>199</v>
      </c>
      <c r="B100" t="s">
        <v>157</v>
      </c>
      <c r="C100" t="s">
        <v>58</v>
      </c>
      <c r="D100" s="2">
        <v>1064</v>
      </c>
    </row>
    <row r="101" spans="1:4" x14ac:dyDescent="0.3">
      <c r="A101">
        <v>200</v>
      </c>
      <c r="B101" t="s">
        <v>158</v>
      </c>
      <c r="C101" t="s">
        <v>70</v>
      </c>
      <c r="D101" s="2">
        <v>179.2</v>
      </c>
    </row>
  </sheetData>
  <autoFilter ref="A1:D10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1"/>
  <sheetViews>
    <sheetView workbookViewId="0">
      <pane ySplit="1" topLeftCell="A178" activePane="bottomLeft" state="frozen"/>
      <selection pane="bottomLeft" activeCell="H191" sqref="H191"/>
    </sheetView>
  </sheetViews>
  <sheetFormatPr defaultRowHeight="14.4" x14ac:dyDescent="0.3"/>
  <cols>
    <col min="1" max="3" width="12" customWidth="1"/>
    <col min="4" max="4" width="21" customWidth="1"/>
    <col min="5" max="5" width="12" customWidth="1"/>
    <col min="6" max="6" width="13" customWidth="1"/>
    <col min="7" max="7" width="15" customWidth="1"/>
    <col min="8" max="8" width="16" customWidth="1"/>
    <col min="9" max="9" width="12" customWidth="1"/>
    <col min="10" max="10" width="13" customWidth="1"/>
    <col min="11" max="11" width="15" customWidth="1"/>
    <col min="12" max="12" width="16.21875" customWidth="1"/>
    <col min="13" max="13" width="18.33203125" customWidth="1"/>
    <col min="14" max="14" width="17.5546875" customWidth="1"/>
  </cols>
  <sheetData>
    <row r="1" spans="1:14" x14ac:dyDescent="0.3">
      <c r="A1" s="5" t="s">
        <v>91</v>
      </c>
      <c r="B1" s="5" t="s">
        <v>0</v>
      </c>
      <c r="C1" s="5" t="s">
        <v>53</v>
      </c>
      <c r="D1" s="5" t="s">
        <v>92</v>
      </c>
      <c r="E1" s="5" t="s">
        <v>93</v>
      </c>
      <c r="F1" s="5" t="s">
        <v>94</v>
      </c>
      <c r="G1" s="5" t="s">
        <v>95</v>
      </c>
      <c r="H1" s="5" t="s">
        <v>56</v>
      </c>
      <c r="I1" s="5" t="s">
        <v>96</v>
      </c>
      <c r="J1" s="5" t="s">
        <v>97</v>
      </c>
      <c r="K1" s="5" t="s">
        <v>98</v>
      </c>
      <c r="L1" s="16" t="s">
        <v>148</v>
      </c>
      <c r="M1" s="16" t="s">
        <v>55</v>
      </c>
      <c r="N1" s="16" t="s">
        <v>185</v>
      </c>
    </row>
    <row r="2" spans="1:14" x14ac:dyDescent="0.3">
      <c r="A2">
        <v>1001</v>
      </c>
      <c r="B2">
        <v>9</v>
      </c>
      <c r="C2">
        <v>152</v>
      </c>
      <c r="D2" s="3">
        <v>46023</v>
      </c>
      <c r="E2">
        <v>2</v>
      </c>
      <c r="F2" t="s">
        <v>99</v>
      </c>
      <c r="G2" t="s">
        <v>100</v>
      </c>
      <c r="H2" s="2">
        <v>728</v>
      </c>
      <c r="I2" s="4">
        <v>0</v>
      </c>
      <c r="J2" s="2">
        <v>1456</v>
      </c>
      <c r="K2" s="2">
        <v>1456</v>
      </c>
      <c r="L2" t="str">
        <f>VLOOKUP(C2,Produtos!$A$1:$D$101,2,FALSE)</f>
        <v xml:space="preserve">Nobreak </v>
      </c>
      <c r="M2" t="str">
        <f>VLOOKUP(C2,Produtos!$A$1:$D$101,3,FALSE)</f>
        <v>Informática</v>
      </c>
      <c r="N2" t="str">
        <f>VLOOKUP(B2,Clientes!$A$1:$E$101,3,FALSE)</f>
        <v>Campinas</v>
      </c>
    </row>
    <row r="3" spans="1:14" x14ac:dyDescent="0.3">
      <c r="A3">
        <v>1002</v>
      </c>
      <c r="B3">
        <v>62</v>
      </c>
      <c r="C3">
        <v>193</v>
      </c>
      <c r="D3" s="3">
        <v>46024</v>
      </c>
      <c r="E3">
        <v>1</v>
      </c>
      <c r="F3" t="s">
        <v>99</v>
      </c>
      <c r="G3" t="s">
        <v>100</v>
      </c>
      <c r="H3" s="2">
        <v>201.6</v>
      </c>
      <c r="I3" s="4">
        <v>0</v>
      </c>
      <c r="J3" s="2">
        <v>201.6</v>
      </c>
      <c r="K3" s="2">
        <v>201.6</v>
      </c>
      <c r="L3" t="str">
        <f>VLOOKUP(C3,Produtos!$A$1:$D$101,2,FALSE)</f>
        <v xml:space="preserve">Teclado </v>
      </c>
      <c r="M3" t="str">
        <f>VLOOKUP(C3,Produtos!$A$1:$D$101,3,FALSE)</f>
        <v>Informática</v>
      </c>
      <c r="N3" t="str">
        <f>VLOOKUP(B3,Clientes!$A$1:$E$101,3,FALSE)</f>
        <v>Santo André</v>
      </c>
    </row>
    <row r="4" spans="1:14" x14ac:dyDescent="0.3">
      <c r="A4">
        <v>1003</v>
      </c>
      <c r="B4">
        <v>37</v>
      </c>
      <c r="C4">
        <v>115</v>
      </c>
      <c r="D4" s="3">
        <v>46026</v>
      </c>
      <c r="E4">
        <v>1</v>
      </c>
      <c r="F4" t="s">
        <v>101</v>
      </c>
      <c r="G4" t="s">
        <v>102</v>
      </c>
      <c r="H4" s="2">
        <v>500</v>
      </c>
      <c r="I4" s="4">
        <v>0</v>
      </c>
      <c r="J4" s="2">
        <v>500</v>
      </c>
      <c r="K4" s="2">
        <v>500</v>
      </c>
      <c r="L4" t="str">
        <f>VLOOKUP(C4,Produtos!$A$1:$D$101,2,FALSE)</f>
        <v>SSD</v>
      </c>
      <c r="M4" t="str">
        <f>VLOOKUP(C4,Produtos!$A$1:$D$101,3,FALSE)</f>
        <v>Informática</v>
      </c>
      <c r="N4" t="str">
        <f>VLOOKUP(B4,Clientes!$A$1:$E$101,3,FALSE)</f>
        <v>Mogi das Cruzes</v>
      </c>
    </row>
    <row r="5" spans="1:14" x14ac:dyDescent="0.3">
      <c r="A5">
        <v>1004</v>
      </c>
      <c r="B5">
        <v>97</v>
      </c>
      <c r="C5">
        <v>172</v>
      </c>
      <c r="D5" s="3">
        <v>46027</v>
      </c>
      <c r="E5">
        <v>1</v>
      </c>
      <c r="F5" t="s">
        <v>103</v>
      </c>
      <c r="G5" t="s">
        <v>102</v>
      </c>
      <c r="H5" s="2">
        <v>453.6</v>
      </c>
      <c r="I5" s="4">
        <v>0.05</v>
      </c>
      <c r="J5" s="2">
        <v>453.6</v>
      </c>
      <c r="K5" s="2">
        <v>430.92</v>
      </c>
      <c r="L5" t="str">
        <f>VLOOKUP(C5,Produtos!$A$1:$D$101,2,FALSE)</f>
        <v xml:space="preserve">Headset </v>
      </c>
      <c r="M5" t="str">
        <f>VLOOKUP(C5,Produtos!$A$1:$D$101,3,FALSE)</f>
        <v>Eletrônicos</v>
      </c>
      <c r="N5" t="str">
        <f>VLOOKUP(B5,Clientes!$A$1:$E$101,3,FALSE)</f>
        <v>Mogi das Cruzes</v>
      </c>
    </row>
    <row r="6" spans="1:14" x14ac:dyDescent="0.3">
      <c r="A6">
        <v>1005</v>
      </c>
      <c r="B6">
        <v>51</v>
      </c>
      <c r="C6">
        <v>161</v>
      </c>
      <c r="D6" s="3">
        <v>46029</v>
      </c>
      <c r="E6">
        <v>1</v>
      </c>
      <c r="F6" t="s">
        <v>103</v>
      </c>
      <c r="G6" t="s">
        <v>100</v>
      </c>
      <c r="H6" s="2">
        <v>3780</v>
      </c>
      <c r="I6" s="4">
        <v>0</v>
      </c>
      <c r="J6" s="2">
        <v>3780</v>
      </c>
      <c r="K6" s="2">
        <v>3780</v>
      </c>
      <c r="L6" t="str">
        <f>VLOOKUP(C6,Produtos!$A$1:$D$101,2,FALSE)</f>
        <v xml:space="preserve">Notebook </v>
      </c>
      <c r="M6" t="str">
        <f>VLOOKUP(C6,Produtos!$A$1:$D$101,3,FALSE)</f>
        <v>Informática</v>
      </c>
      <c r="N6" t="str">
        <f>VLOOKUP(B6,Clientes!$A$1:$E$101,3,FALSE)</f>
        <v>Osasco</v>
      </c>
    </row>
    <row r="7" spans="1:14" x14ac:dyDescent="0.3">
      <c r="A7">
        <v>1006</v>
      </c>
      <c r="B7">
        <v>44</v>
      </c>
      <c r="C7">
        <v>121</v>
      </c>
      <c r="D7" s="3">
        <v>46030</v>
      </c>
      <c r="E7">
        <v>1</v>
      </c>
      <c r="F7" t="s">
        <v>101</v>
      </c>
      <c r="G7" t="s">
        <v>102</v>
      </c>
      <c r="H7" s="2">
        <v>260</v>
      </c>
      <c r="I7" s="4">
        <v>0</v>
      </c>
      <c r="J7" s="2">
        <v>260</v>
      </c>
      <c r="K7" s="2">
        <v>260</v>
      </c>
      <c r="L7" t="str">
        <f>VLOOKUP(C7,Produtos!$A$1:$D$101,2,FALSE)</f>
        <v>Estabilizador</v>
      </c>
      <c r="M7" t="str">
        <f>VLOOKUP(C7,Produtos!$A$1:$D$101,3,FALSE)</f>
        <v>Informática</v>
      </c>
      <c r="N7" t="str">
        <f>VLOOKUP(B7,Clientes!$A$1:$E$101,3,FALSE)</f>
        <v>Piracicaba</v>
      </c>
    </row>
    <row r="8" spans="1:14" x14ac:dyDescent="0.3">
      <c r="A8">
        <v>1007</v>
      </c>
      <c r="B8">
        <v>24</v>
      </c>
      <c r="C8">
        <v>183</v>
      </c>
      <c r="D8" s="3">
        <v>46032</v>
      </c>
      <c r="E8">
        <v>1</v>
      </c>
      <c r="F8" t="s">
        <v>103</v>
      </c>
      <c r="G8" t="s">
        <v>100</v>
      </c>
      <c r="H8" s="2">
        <v>1566</v>
      </c>
      <c r="I8" s="4">
        <v>0.1</v>
      </c>
      <c r="J8" s="2">
        <v>1566</v>
      </c>
      <c r="K8" s="2">
        <v>1409.4</v>
      </c>
      <c r="L8" t="str">
        <f>VLOOKUP(C8,Produtos!$A$1:$D$101,2,FALSE)</f>
        <v xml:space="preserve">Cadeira Gamer </v>
      </c>
      <c r="M8" t="str">
        <f>VLOOKUP(C8,Produtos!$A$1:$D$101,3,FALSE)</f>
        <v>Móveis</v>
      </c>
      <c r="N8" t="str">
        <f>VLOOKUP(B8,Clientes!$A$1:$E$101,3,FALSE)</f>
        <v>Campinas</v>
      </c>
    </row>
    <row r="9" spans="1:14" x14ac:dyDescent="0.3">
      <c r="A9">
        <v>1008</v>
      </c>
      <c r="B9">
        <v>79</v>
      </c>
      <c r="C9">
        <v>187</v>
      </c>
      <c r="D9" s="3">
        <v>46033</v>
      </c>
      <c r="E9">
        <v>1</v>
      </c>
      <c r="F9" t="s">
        <v>101</v>
      </c>
      <c r="G9" t="s">
        <v>100</v>
      </c>
      <c r="H9" s="2">
        <v>75.599999999999994</v>
      </c>
      <c r="I9" s="4">
        <v>0.1</v>
      </c>
      <c r="J9" s="2">
        <v>75.599999999999994</v>
      </c>
      <c r="K9" s="2">
        <v>68.040000000000006</v>
      </c>
      <c r="L9" t="str">
        <f>VLOOKUP(C9,Produtos!$A$1:$D$101,2,FALSE)</f>
        <v xml:space="preserve">Pen Drive </v>
      </c>
      <c r="M9" t="str">
        <f>VLOOKUP(C9,Produtos!$A$1:$D$101,3,FALSE)</f>
        <v>Informática</v>
      </c>
      <c r="N9" t="str">
        <f>VLOOKUP(B9,Clientes!$A$1:$E$101,3,FALSE)</f>
        <v>São Bernardo do Campo</v>
      </c>
    </row>
    <row r="10" spans="1:14" x14ac:dyDescent="0.3">
      <c r="A10">
        <v>1009</v>
      </c>
      <c r="B10">
        <v>59</v>
      </c>
      <c r="C10">
        <v>175</v>
      </c>
      <c r="D10" s="3">
        <v>46035</v>
      </c>
      <c r="E10">
        <v>1</v>
      </c>
      <c r="F10" t="s">
        <v>103</v>
      </c>
      <c r="G10" t="s">
        <v>102</v>
      </c>
      <c r="H10" s="2">
        <v>540</v>
      </c>
      <c r="I10" s="4">
        <v>0</v>
      </c>
      <c r="J10" s="2">
        <v>540</v>
      </c>
      <c r="K10" s="2">
        <v>540</v>
      </c>
      <c r="L10" t="str">
        <f>VLOOKUP(C10,Produtos!$A$1:$D$101,2,FALSE)</f>
        <v xml:space="preserve">SSD </v>
      </c>
      <c r="M10" t="str">
        <f>VLOOKUP(C10,Produtos!$A$1:$D$101,3,FALSE)</f>
        <v>Informática</v>
      </c>
      <c r="N10" t="str">
        <f>VLOOKUP(B10,Clientes!$A$1:$E$101,3,FALSE)</f>
        <v>Piracicaba</v>
      </c>
    </row>
    <row r="11" spans="1:14" x14ac:dyDescent="0.3">
      <c r="A11">
        <v>1010</v>
      </c>
      <c r="B11">
        <v>32</v>
      </c>
      <c r="C11">
        <v>175</v>
      </c>
      <c r="D11" s="3">
        <v>46036</v>
      </c>
      <c r="E11">
        <v>3</v>
      </c>
      <c r="F11" t="s">
        <v>101</v>
      </c>
      <c r="G11" t="s">
        <v>102</v>
      </c>
      <c r="H11" s="2">
        <v>540</v>
      </c>
      <c r="I11" s="4">
        <v>0</v>
      </c>
      <c r="J11" s="2">
        <v>1620</v>
      </c>
      <c r="K11" s="2">
        <v>1620</v>
      </c>
      <c r="L11" t="str">
        <f>VLOOKUP(C11,Produtos!$A$1:$D$101,2,FALSE)</f>
        <v xml:space="preserve">SSD </v>
      </c>
      <c r="M11" t="str">
        <f>VLOOKUP(C11,Produtos!$A$1:$D$101,3,FALSE)</f>
        <v>Informática</v>
      </c>
      <c r="N11" t="str">
        <f>VLOOKUP(B11,Clientes!$A$1:$E$101,3,FALSE)</f>
        <v>Santo André</v>
      </c>
    </row>
    <row r="12" spans="1:14" x14ac:dyDescent="0.3">
      <c r="A12">
        <v>1011</v>
      </c>
      <c r="B12">
        <v>96</v>
      </c>
      <c r="C12">
        <v>188</v>
      </c>
      <c r="D12" s="3">
        <v>46038</v>
      </c>
      <c r="E12">
        <v>1</v>
      </c>
      <c r="F12" t="s">
        <v>103</v>
      </c>
      <c r="G12" t="s">
        <v>102</v>
      </c>
      <c r="H12" s="2">
        <v>118.8</v>
      </c>
      <c r="I12" s="4">
        <v>0.05</v>
      </c>
      <c r="J12" s="2">
        <v>118.8</v>
      </c>
      <c r="K12" s="2">
        <v>112.86</v>
      </c>
      <c r="L12" t="str">
        <f>VLOOKUP(C12,Produtos!$A$1:$D$101,2,FALSE)</f>
        <v xml:space="preserve">Carregador </v>
      </c>
      <c r="M12" t="str">
        <f>VLOOKUP(C12,Produtos!$A$1:$D$101,3,FALSE)</f>
        <v>Eletrônicos</v>
      </c>
      <c r="N12" t="str">
        <f>VLOOKUP(B12,Clientes!$A$1:$E$101,3,FALSE)</f>
        <v>Osasco</v>
      </c>
    </row>
    <row r="13" spans="1:14" x14ac:dyDescent="0.3">
      <c r="A13">
        <v>1012</v>
      </c>
      <c r="B13">
        <v>88</v>
      </c>
      <c r="C13">
        <v>200</v>
      </c>
      <c r="D13" s="3">
        <v>46039</v>
      </c>
      <c r="E13">
        <v>2</v>
      </c>
      <c r="F13" t="s">
        <v>101</v>
      </c>
      <c r="G13" t="s">
        <v>104</v>
      </c>
      <c r="H13" s="2">
        <v>179.2</v>
      </c>
      <c r="I13" s="4">
        <v>0</v>
      </c>
      <c r="J13" s="2">
        <v>358.4</v>
      </c>
      <c r="K13" s="2">
        <v>358.4</v>
      </c>
      <c r="L13" t="str">
        <f>VLOOKUP(C13,Produtos!$A$1:$D$101,2,FALSE)</f>
        <v xml:space="preserve">Mochila </v>
      </c>
      <c r="M13" t="str">
        <f>VLOOKUP(C13,Produtos!$A$1:$D$101,3,FALSE)</f>
        <v>Acessórios</v>
      </c>
      <c r="N13" t="str">
        <f>VLOOKUP(B13,Clientes!$A$1:$E$101,3,FALSE)</f>
        <v>Bauru</v>
      </c>
    </row>
    <row r="14" spans="1:14" x14ac:dyDescent="0.3">
      <c r="A14">
        <v>1013</v>
      </c>
      <c r="B14">
        <v>52</v>
      </c>
      <c r="C14">
        <v>124</v>
      </c>
      <c r="D14" s="3">
        <v>46041</v>
      </c>
      <c r="E14">
        <v>1</v>
      </c>
      <c r="F14" t="s">
        <v>99</v>
      </c>
      <c r="G14" t="s">
        <v>100</v>
      </c>
      <c r="H14" s="2">
        <v>1300</v>
      </c>
      <c r="I14" s="4">
        <v>0</v>
      </c>
      <c r="J14" s="2">
        <v>1300</v>
      </c>
      <c r="K14" s="2">
        <v>1300</v>
      </c>
      <c r="L14" t="str">
        <f>VLOOKUP(C14,Produtos!$A$1:$D$101,2,FALSE)</f>
        <v>Armário</v>
      </c>
      <c r="M14" t="str">
        <f>VLOOKUP(C14,Produtos!$A$1:$D$101,3,FALSE)</f>
        <v>Móveis</v>
      </c>
      <c r="N14" t="str">
        <f>VLOOKUP(B14,Clientes!$A$1:$E$101,3,FALSE)</f>
        <v>Mogi das Cruzes</v>
      </c>
    </row>
    <row r="15" spans="1:14" x14ac:dyDescent="0.3">
      <c r="A15">
        <v>1014</v>
      </c>
      <c r="B15">
        <v>62</v>
      </c>
      <c r="C15">
        <v>103</v>
      </c>
      <c r="D15" s="3">
        <v>46042</v>
      </c>
      <c r="E15">
        <v>4</v>
      </c>
      <c r="F15" t="s">
        <v>101</v>
      </c>
      <c r="G15" t="s">
        <v>100</v>
      </c>
      <c r="H15" s="2">
        <v>180</v>
      </c>
      <c r="I15" s="4">
        <v>0</v>
      </c>
      <c r="J15" s="2">
        <v>720</v>
      </c>
      <c r="K15" s="2">
        <v>720</v>
      </c>
      <c r="L15" t="str">
        <f>VLOOKUP(C15,Produtos!$A$1:$D$101,2,FALSE)</f>
        <v>Teclado</v>
      </c>
      <c r="M15" t="str">
        <f>VLOOKUP(C15,Produtos!$A$1:$D$101,3,FALSE)</f>
        <v>Informática</v>
      </c>
      <c r="N15" t="str">
        <f>VLOOKUP(B15,Clientes!$A$1:$E$101,3,FALSE)</f>
        <v>Santo André</v>
      </c>
    </row>
    <row r="16" spans="1:14" x14ac:dyDescent="0.3">
      <c r="A16">
        <v>1015</v>
      </c>
      <c r="B16">
        <v>58</v>
      </c>
      <c r="C16">
        <v>122</v>
      </c>
      <c r="D16" s="3">
        <v>46044</v>
      </c>
      <c r="E16">
        <v>1</v>
      </c>
      <c r="F16" t="s">
        <v>103</v>
      </c>
      <c r="G16" t="s">
        <v>102</v>
      </c>
      <c r="H16" s="2">
        <v>700</v>
      </c>
      <c r="I16" s="4">
        <v>0.05</v>
      </c>
      <c r="J16" s="2">
        <v>700</v>
      </c>
      <c r="K16" s="2">
        <v>665</v>
      </c>
      <c r="L16" t="str">
        <f>VLOOKUP(C16,Produtos!$A$1:$D$101,2,FALSE)</f>
        <v>Nobreak</v>
      </c>
      <c r="M16" t="str">
        <f>VLOOKUP(C16,Produtos!$A$1:$D$101,3,FALSE)</f>
        <v>Informática</v>
      </c>
      <c r="N16" t="str">
        <f>VLOOKUP(B16,Clientes!$A$1:$E$101,3,FALSE)</f>
        <v>Bauru</v>
      </c>
    </row>
    <row r="17" spans="1:14" x14ac:dyDescent="0.3">
      <c r="A17">
        <v>1016</v>
      </c>
      <c r="B17">
        <v>52</v>
      </c>
      <c r="C17">
        <v>153</v>
      </c>
      <c r="D17" s="3">
        <v>46045</v>
      </c>
      <c r="E17">
        <v>1</v>
      </c>
      <c r="F17" t="s">
        <v>99</v>
      </c>
      <c r="G17" t="s">
        <v>100</v>
      </c>
      <c r="H17" s="2">
        <v>1508</v>
      </c>
      <c r="I17" s="4">
        <v>0.05</v>
      </c>
      <c r="J17" s="2">
        <v>1508</v>
      </c>
      <c r="K17" s="2">
        <v>1432.6</v>
      </c>
      <c r="L17" t="str">
        <f>VLOOKUP(C17,Produtos!$A$1:$D$101,2,FALSE)</f>
        <v xml:space="preserve">Cadeira Gamer </v>
      </c>
      <c r="M17" t="str">
        <f>VLOOKUP(C17,Produtos!$A$1:$D$101,3,FALSE)</f>
        <v>Móveis</v>
      </c>
      <c r="N17" t="str">
        <f>VLOOKUP(B17,Clientes!$A$1:$E$101,3,FALSE)</f>
        <v>Mogi das Cruzes</v>
      </c>
    </row>
    <row r="18" spans="1:14" x14ac:dyDescent="0.3">
      <c r="A18">
        <v>1017</v>
      </c>
      <c r="B18">
        <v>12</v>
      </c>
      <c r="C18">
        <v>102</v>
      </c>
      <c r="D18" s="3">
        <v>46047</v>
      </c>
      <c r="E18">
        <v>4</v>
      </c>
      <c r="F18" t="s">
        <v>101</v>
      </c>
      <c r="G18" t="s">
        <v>102</v>
      </c>
      <c r="H18" s="2">
        <v>1200</v>
      </c>
      <c r="I18" s="4">
        <v>0</v>
      </c>
      <c r="J18" s="2">
        <v>4800</v>
      </c>
      <c r="K18" s="2">
        <v>4800</v>
      </c>
      <c r="L18" t="str">
        <f>VLOOKUP(C18,Produtos!$A$1:$D$101,2,FALSE)</f>
        <v>Monitor</v>
      </c>
      <c r="M18" t="str">
        <f>VLOOKUP(C18,Produtos!$A$1:$D$101,3,FALSE)</f>
        <v>Informática</v>
      </c>
      <c r="N18" t="str">
        <f>VLOOKUP(B18,Clientes!$A$1:$E$101,3,FALSE)</f>
        <v>Diadema</v>
      </c>
    </row>
    <row r="19" spans="1:14" x14ac:dyDescent="0.3">
      <c r="A19">
        <v>1018</v>
      </c>
      <c r="B19">
        <v>39</v>
      </c>
      <c r="C19">
        <v>188</v>
      </c>
      <c r="D19" s="3">
        <v>46048</v>
      </c>
      <c r="E19">
        <v>3</v>
      </c>
      <c r="F19" t="s">
        <v>99</v>
      </c>
      <c r="G19" t="s">
        <v>102</v>
      </c>
      <c r="H19" s="2">
        <v>118.8</v>
      </c>
      <c r="I19" s="4">
        <v>0</v>
      </c>
      <c r="J19" s="2">
        <v>356.4</v>
      </c>
      <c r="K19" s="2">
        <v>356.4</v>
      </c>
      <c r="L19" t="str">
        <f>VLOOKUP(C19,Produtos!$A$1:$D$101,2,FALSE)</f>
        <v xml:space="preserve">Carregador </v>
      </c>
      <c r="M19" t="str">
        <f>VLOOKUP(C19,Produtos!$A$1:$D$101,3,FALSE)</f>
        <v>Eletrônicos</v>
      </c>
      <c r="N19" t="str">
        <f>VLOOKUP(B19,Clientes!$A$1:$E$101,3,FALSE)</f>
        <v>Campinas</v>
      </c>
    </row>
    <row r="20" spans="1:14" x14ac:dyDescent="0.3">
      <c r="A20">
        <v>1019</v>
      </c>
      <c r="B20">
        <v>2</v>
      </c>
      <c r="C20">
        <v>130</v>
      </c>
      <c r="D20" s="3">
        <v>46050</v>
      </c>
      <c r="E20">
        <v>3</v>
      </c>
      <c r="F20" t="s">
        <v>99</v>
      </c>
      <c r="G20" t="s">
        <v>102</v>
      </c>
      <c r="H20" s="2">
        <v>600</v>
      </c>
      <c r="I20" s="4">
        <v>0</v>
      </c>
      <c r="J20" s="2">
        <v>1800</v>
      </c>
      <c r="K20" s="2">
        <v>1800</v>
      </c>
      <c r="L20" t="str">
        <f>VLOOKUP(C20,Produtos!$A$1:$D$101,2,FALSE)</f>
        <v>Mesa Digitalizadora</v>
      </c>
      <c r="M20" t="str">
        <f>VLOOKUP(C20,Produtos!$A$1:$D$101,3,FALSE)</f>
        <v>Informática</v>
      </c>
      <c r="N20" t="str">
        <f>VLOOKUP(B20,Clientes!$A$1:$E$101,3,FALSE)</f>
        <v>Santo André</v>
      </c>
    </row>
    <row r="21" spans="1:14" x14ac:dyDescent="0.3">
      <c r="A21">
        <v>1020</v>
      </c>
      <c r="B21">
        <v>3</v>
      </c>
      <c r="C21">
        <v>138</v>
      </c>
      <c r="D21" s="3">
        <v>46051</v>
      </c>
      <c r="E21">
        <v>1</v>
      </c>
      <c r="F21" t="s">
        <v>99</v>
      </c>
      <c r="G21" t="s">
        <v>100</v>
      </c>
      <c r="H21" s="2">
        <v>2288</v>
      </c>
      <c r="I21" s="4">
        <v>0.05</v>
      </c>
      <c r="J21" s="2">
        <v>2288</v>
      </c>
      <c r="K21" s="2">
        <v>2173.6</v>
      </c>
      <c r="L21" t="str">
        <f>VLOOKUP(C21,Produtos!$A$1:$D$101,2,FALSE)</f>
        <v xml:space="preserve">Smartphone </v>
      </c>
      <c r="M21" t="str">
        <f>VLOOKUP(C21,Produtos!$A$1:$D$101,3,FALSE)</f>
        <v>Eletrônicos</v>
      </c>
      <c r="N21" t="str">
        <f>VLOOKUP(B21,Clientes!$A$1:$E$101,3,FALSE)</f>
        <v>Mauá</v>
      </c>
    </row>
    <row r="22" spans="1:14" x14ac:dyDescent="0.3">
      <c r="A22">
        <v>1021</v>
      </c>
      <c r="B22">
        <v>56</v>
      </c>
      <c r="C22">
        <v>102</v>
      </c>
      <c r="D22" s="3">
        <v>46053</v>
      </c>
      <c r="E22">
        <v>1</v>
      </c>
      <c r="F22" t="s">
        <v>103</v>
      </c>
      <c r="G22" t="s">
        <v>100</v>
      </c>
      <c r="H22" s="2">
        <v>1200</v>
      </c>
      <c r="I22" s="4">
        <v>0</v>
      </c>
      <c r="J22" s="2">
        <v>1200</v>
      </c>
      <c r="K22" s="2">
        <v>1200</v>
      </c>
      <c r="L22" t="str">
        <f>VLOOKUP(C22,Produtos!$A$1:$D$101,2,FALSE)</f>
        <v>Monitor</v>
      </c>
      <c r="M22" t="str">
        <f>VLOOKUP(C22,Produtos!$A$1:$D$101,3,FALSE)</f>
        <v>Informática</v>
      </c>
      <c r="N22" t="str">
        <f>VLOOKUP(B22,Clientes!$A$1:$E$101,3,FALSE)</f>
        <v>Jundiaí</v>
      </c>
    </row>
    <row r="23" spans="1:14" x14ac:dyDescent="0.3">
      <c r="A23">
        <v>1022</v>
      </c>
      <c r="B23">
        <v>81</v>
      </c>
      <c r="C23">
        <v>164</v>
      </c>
      <c r="D23" s="3">
        <v>46054</v>
      </c>
      <c r="E23">
        <v>2</v>
      </c>
      <c r="F23" t="s">
        <v>99</v>
      </c>
      <c r="G23" t="s">
        <v>100</v>
      </c>
      <c r="H23" s="2">
        <v>97.2</v>
      </c>
      <c r="I23" s="4">
        <v>0</v>
      </c>
      <c r="J23" s="2">
        <v>194.4</v>
      </c>
      <c r="K23" s="2">
        <v>194.4</v>
      </c>
      <c r="L23" t="str">
        <f>VLOOKUP(C23,Produtos!$A$1:$D$101,2,FALSE)</f>
        <v xml:space="preserve">Mouse </v>
      </c>
      <c r="M23" t="str">
        <f>VLOOKUP(C23,Produtos!$A$1:$D$101,3,FALSE)</f>
        <v>Informática</v>
      </c>
      <c r="N23" t="str">
        <f>VLOOKUP(B23,Clientes!$A$1:$E$101,3,FALSE)</f>
        <v>Osasco</v>
      </c>
    </row>
    <row r="24" spans="1:14" x14ac:dyDescent="0.3">
      <c r="A24">
        <v>1023</v>
      </c>
      <c r="B24">
        <v>59</v>
      </c>
      <c r="C24">
        <v>160</v>
      </c>
      <c r="D24" s="3">
        <v>46056</v>
      </c>
      <c r="E24">
        <v>3</v>
      </c>
      <c r="F24" t="s">
        <v>99</v>
      </c>
      <c r="G24" t="s">
        <v>100</v>
      </c>
      <c r="H24" s="2">
        <v>624</v>
      </c>
      <c r="I24" s="4">
        <v>0.05</v>
      </c>
      <c r="J24" s="2">
        <v>1872</v>
      </c>
      <c r="K24" s="2">
        <v>1778.4</v>
      </c>
      <c r="L24" t="str">
        <f>VLOOKUP(C24,Produtos!$A$1:$D$101,2,FALSE)</f>
        <v xml:space="preserve">Mesa Digitalizadora </v>
      </c>
      <c r="M24" t="str">
        <f>VLOOKUP(C24,Produtos!$A$1:$D$101,3,FALSE)</f>
        <v>Informática</v>
      </c>
      <c r="N24" t="str">
        <f>VLOOKUP(B24,Clientes!$A$1:$E$101,3,FALSE)</f>
        <v>Piracicaba</v>
      </c>
    </row>
    <row r="25" spans="1:14" x14ac:dyDescent="0.3">
      <c r="A25">
        <v>1024</v>
      </c>
      <c r="B25">
        <v>2</v>
      </c>
      <c r="C25">
        <v>121</v>
      </c>
      <c r="D25" s="3">
        <v>46057</v>
      </c>
      <c r="E25">
        <v>2</v>
      </c>
      <c r="F25" t="s">
        <v>101</v>
      </c>
      <c r="G25" t="s">
        <v>100</v>
      </c>
      <c r="H25" s="2">
        <v>260</v>
      </c>
      <c r="I25" s="4">
        <v>0</v>
      </c>
      <c r="J25" s="2">
        <v>520</v>
      </c>
      <c r="K25" s="2">
        <v>520</v>
      </c>
      <c r="L25" t="str">
        <f>VLOOKUP(C25,Produtos!$A$1:$D$101,2,FALSE)</f>
        <v>Estabilizador</v>
      </c>
      <c r="M25" t="str">
        <f>VLOOKUP(C25,Produtos!$A$1:$D$101,3,FALSE)</f>
        <v>Informática</v>
      </c>
      <c r="N25" t="str">
        <f>VLOOKUP(B25,Clientes!$A$1:$E$101,3,FALSE)</f>
        <v>Santo André</v>
      </c>
    </row>
    <row r="26" spans="1:14" x14ac:dyDescent="0.3">
      <c r="A26">
        <v>1025</v>
      </c>
      <c r="B26">
        <v>2</v>
      </c>
      <c r="C26">
        <v>133</v>
      </c>
      <c r="D26" s="3">
        <v>46059</v>
      </c>
      <c r="E26">
        <v>2</v>
      </c>
      <c r="F26" t="s">
        <v>103</v>
      </c>
      <c r="G26" t="s">
        <v>100</v>
      </c>
      <c r="H26" s="2">
        <v>187.2</v>
      </c>
      <c r="I26" s="4">
        <v>0.05</v>
      </c>
      <c r="J26" s="2">
        <v>374.4</v>
      </c>
      <c r="K26" s="2">
        <v>355.68</v>
      </c>
      <c r="L26" t="str">
        <f>VLOOKUP(C26,Produtos!$A$1:$D$101,2,FALSE)</f>
        <v xml:space="preserve">Teclado </v>
      </c>
      <c r="M26" t="str">
        <f>VLOOKUP(C26,Produtos!$A$1:$D$101,3,FALSE)</f>
        <v>Informática</v>
      </c>
      <c r="N26" t="str">
        <f>VLOOKUP(B26,Clientes!$A$1:$E$101,3,FALSE)</f>
        <v>Santo André</v>
      </c>
    </row>
    <row r="27" spans="1:14" x14ac:dyDescent="0.3">
      <c r="A27">
        <v>1026</v>
      </c>
      <c r="B27">
        <v>92</v>
      </c>
      <c r="C27">
        <v>176</v>
      </c>
      <c r="D27" s="3">
        <v>46060</v>
      </c>
      <c r="E27">
        <v>1</v>
      </c>
      <c r="F27" t="s">
        <v>103</v>
      </c>
      <c r="G27" t="s">
        <v>100</v>
      </c>
      <c r="H27" s="2">
        <v>378</v>
      </c>
      <c r="I27" s="4">
        <v>0</v>
      </c>
      <c r="J27" s="2">
        <v>378</v>
      </c>
      <c r="K27" s="2">
        <v>378</v>
      </c>
      <c r="L27" t="str">
        <f>VLOOKUP(C27,Produtos!$A$1:$D$101,2,FALSE)</f>
        <v xml:space="preserve">Teclado Mecânico </v>
      </c>
      <c r="M27" t="str">
        <f>VLOOKUP(C27,Produtos!$A$1:$D$101,3,FALSE)</f>
        <v>Informática</v>
      </c>
      <c r="N27" t="str">
        <f>VLOOKUP(B27,Clientes!$A$1:$E$101,3,FALSE)</f>
        <v>Santo André</v>
      </c>
    </row>
    <row r="28" spans="1:14" x14ac:dyDescent="0.3">
      <c r="A28">
        <v>1027</v>
      </c>
      <c r="B28">
        <v>54</v>
      </c>
      <c r="C28">
        <v>158</v>
      </c>
      <c r="D28" s="3">
        <v>46062</v>
      </c>
      <c r="E28">
        <v>2</v>
      </c>
      <c r="F28" t="s">
        <v>101</v>
      </c>
      <c r="G28" t="s">
        <v>100</v>
      </c>
      <c r="H28" s="2">
        <v>114.4</v>
      </c>
      <c r="I28" s="4">
        <v>0</v>
      </c>
      <c r="J28" s="2">
        <v>228.8</v>
      </c>
      <c r="K28" s="2">
        <v>228.8</v>
      </c>
      <c r="L28" t="str">
        <f>VLOOKUP(C28,Produtos!$A$1:$D$101,2,FALSE)</f>
        <v xml:space="preserve">Carregador </v>
      </c>
      <c r="M28" t="str">
        <f>VLOOKUP(C28,Produtos!$A$1:$D$101,3,FALSE)</f>
        <v>Eletrônicos</v>
      </c>
      <c r="N28" t="str">
        <f>VLOOKUP(B28,Clientes!$A$1:$E$101,3,FALSE)</f>
        <v>Campinas</v>
      </c>
    </row>
    <row r="29" spans="1:14" x14ac:dyDescent="0.3">
      <c r="A29">
        <v>1028</v>
      </c>
      <c r="B29">
        <v>87</v>
      </c>
      <c r="C29">
        <v>122</v>
      </c>
      <c r="D29" s="3">
        <v>46063</v>
      </c>
      <c r="E29">
        <v>1</v>
      </c>
      <c r="F29" t="s">
        <v>101</v>
      </c>
      <c r="G29" t="s">
        <v>100</v>
      </c>
      <c r="H29" s="2">
        <v>700</v>
      </c>
      <c r="I29" s="4">
        <v>0</v>
      </c>
      <c r="J29" s="2">
        <v>700</v>
      </c>
      <c r="K29" s="2">
        <v>700</v>
      </c>
      <c r="L29" t="str">
        <f>VLOOKUP(C29,Produtos!$A$1:$D$101,2,FALSE)</f>
        <v>Nobreak</v>
      </c>
      <c r="M29" t="str">
        <f>VLOOKUP(C29,Produtos!$A$1:$D$101,3,FALSE)</f>
        <v>Informática</v>
      </c>
      <c r="N29" t="str">
        <f>VLOOKUP(B29,Clientes!$A$1:$E$101,3,FALSE)</f>
        <v>Diadema</v>
      </c>
    </row>
    <row r="30" spans="1:14" x14ac:dyDescent="0.3">
      <c r="A30">
        <v>1029</v>
      </c>
      <c r="B30">
        <v>96</v>
      </c>
      <c r="C30">
        <v>189</v>
      </c>
      <c r="D30" s="3">
        <v>46065</v>
      </c>
      <c r="E30">
        <v>1</v>
      </c>
      <c r="F30" t="s">
        <v>103</v>
      </c>
      <c r="G30" t="s">
        <v>100</v>
      </c>
      <c r="H30" s="2">
        <v>702</v>
      </c>
      <c r="I30" s="4">
        <v>0.05</v>
      </c>
      <c r="J30" s="2">
        <v>702</v>
      </c>
      <c r="K30" s="2">
        <v>666.9</v>
      </c>
      <c r="L30" t="str">
        <f>VLOOKUP(C30,Produtos!$A$1:$D$101,2,FALSE)</f>
        <v xml:space="preserve">Smartwatch </v>
      </c>
      <c r="M30" t="str">
        <f>VLOOKUP(C30,Produtos!$A$1:$D$101,3,FALSE)</f>
        <v>Eletrônicos</v>
      </c>
      <c r="N30" t="str">
        <f>VLOOKUP(B30,Clientes!$A$1:$E$101,3,FALSE)</f>
        <v>Osasco</v>
      </c>
    </row>
    <row r="31" spans="1:14" x14ac:dyDescent="0.3">
      <c r="A31">
        <v>1030</v>
      </c>
      <c r="B31">
        <v>97</v>
      </c>
      <c r="C31">
        <v>149</v>
      </c>
      <c r="D31" s="3">
        <v>46066</v>
      </c>
      <c r="E31">
        <v>1</v>
      </c>
      <c r="F31" t="s">
        <v>99</v>
      </c>
      <c r="G31" t="s">
        <v>100</v>
      </c>
      <c r="H31" s="2">
        <v>312</v>
      </c>
      <c r="I31" s="4">
        <v>0.1</v>
      </c>
      <c r="J31" s="2">
        <v>312</v>
      </c>
      <c r="K31" s="2">
        <v>280.8</v>
      </c>
      <c r="L31" t="str">
        <f>VLOOKUP(C31,Produtos!$A$1:$D$101,2,FALSE)</f>
        <v xml:space="preserve">Caixa de Som </v>
      </c>
      <c r="M31" t="str">
        <f>VLOOKUP(C31,Produtos!$A$1:$D$101,3,FALSE)</f>
        <v>Eletrônicos</v>
      </c>
      <c r="N31" t="str">
        <f>VLOOKUP(B31,Clientes!$A$1:$E$101,3,FALSE)</f>
        <v>Mogi das Cruzes</v>
      </c>
    </row>
    <row r="32" spans="1:14" x14ac:dyDescent="0.3">
      <c r="A32">
        <v>1031</v>
      </c>
      <c r="B32">
        <v>1</v>
      </c>
      <c r="C32">
        <v>191</v>
      </c>
      <c r="D32" s="3">
        <v>46068</v>
      </c>
      <c r="E32">
        <v>2</v>
      </c>
      <c r="F32" t="s">
        <v>103</v>
      </c>
      <c r="G32" t="s">
        <v>102</v>
      </c>
      <c r="H32" s="2">
        <v>3920</v>
      </c>
      <c r="I32" s="4">
        <v>0.1</v>
      </c>
      <c r="J32" s="2">
        <v>7840</v>
      </c>
      <c r="K32" s="2">
        <v>7056</v>
      </c>
      <c r="L32" t="str">
        <f>VLOOKUP(C32,Produtos!$A$1:$D$101,2,FALSE)</f>
        <v xml:space="preserve">Notebook </v>
      </c>
      <c r="M32" t="str">
        <f>VLOOKUP(C32,Produtos!$A$1:$D$101,3,FALSE)</f>
        <v>Informática</v>
      </c>
      <c r="N32" t="str">
        <f>VLOOKUP(B32,Clientes!$A$1:$E$101,3,FALSE)</f>
        <v>São Paulo</v>
      </c>
    </row>
    <row r="33" spans="1:14" x14ac:dyDescent="0.3">
      <c r="A33">
        <v>1032</v>
      </c>
      <c r="B33">
        <v>19</v>
      </c>
      <c r="C33">
        <v>159</v>
      </c>
      <c r="D33" s="3">
        <v>46069</v>
      </c>
      <c r="E33">
        <v>1</v>
      </c>
      <c r="F33" t="s">
        <v>103</v>
      </c>
      <c r="G33" t="s">
        <v>100</v>
      </c>
      <c r="H33" s="2">
        <v>676</v>
      </c>
      <c r="I33" s="4">
        <v>0</v>
      </c>
      <c r="J33" s="2">
        <v>676</v>
      </c>
      <c r="K33" s="2">
        <v>676</v>
      </c>
      <c r="L33" t="str">
        <f>VLOOKUP(C33,Produtos!$A$1:$D$101,2,FALSE)</f>
        <v xml:space="preserve">Smartwatch </v>
      </c>
      <c r="M33" t="str">
        <f>VLOOKUP(C33,Produtos!$A$1:$D$101,3,FALSE)</f>
        <v>Eletrônicos</v>
      </c>
      <c r="N33" t="str">
        <f>VLOOKUP(B33,Clientes!$A$1:$E$101,3,FALSE)</f>
        <v>São Bernardo do Campo</v>
      </c>
    </row>
    <row r="34" spans="1:14" x14ac:dyDescent="0.3">
      <c r="A34">
        <v>1033</v>
      </c>
      <c r="B34">
        <v>2</v>
      </c>
      <c r="C34">
        <v>142</v>
      </c>
      <c r="D34" s="3">
        <v>46071</v>
      </c>
      <c r="E34">
        <v>1</v>
      </c>
      <c r="F34" t="s">
        <v>103</v>
      </c>
      <c r="G34" t="s">
        <v>100</v>
      </c>
      <c r="H34" s="2">
        <v>436.8</v>
      </c>
      <c r="I34" s="4">
        <v>0.05</v>
      </c>
      <c r="J34" s="2">
        <v>436.8</v>
      </c>
      <c r="K34" s="2">
        <v>414.96</v>
      </c>
      <c r="L34" t="str">
        <f>VLOOKUP(C34,Produtos!$A$1:$D$101,2,FALSE)</f>
        <v xml:space="preserve">Headset </v>
      </c>
      <c r="M34" t="str">
        <f>VLOOKUP(C34,Produtos!$A$1:$D$101,3,FALSE)</f>
        <v>Eletrônicos</v>
      </c>
      <c r="N34" t="str">
        <f>VLOOKUP(B34,Clientes!$A$1:$E$101,3,FALSE)</f>
        <v>Santo André</v>
      </c>
    </row>
    <row r="35" spans="1:14" x14ac:dyDescent="0.3">
      <c r="A35">
        <v>1034</v>
      </c>
      <c r="B35">
        <v>53</v>
      </c>
      <c r="C35">
        <v>192</v>
      </c>
      <c r="D35" s="3">
        <v>46072</v>
      </c>
      <c r="E35">
        <v>2</v>
      </c>
      <c r="F35" t="s">
        <v>103</v>
      </c>
      <c r="G35" t="s">
        <v>100</v>
      </c>
      <c r="H35" s="2">
        <v>1344</v>
      </c>
      <c r="I35" s="4">
        <v>0</v>
      </c>
      <c r="J35" s="2">
        <v>2688</v>
      </c>
      <c r="K35" s="2">
        <v>2688</v>
      </c>
      <c r="L35" t="str">
        <f>VLOOKUP(C35,Produtos!$A$1:$D$101,2,FALSE)</f>
        <v xml:space="preserve">Monitor </v>
      </c>
      <c r="M35" t="str">
        <f>VLOOKUP(C35,Produtos!$A$1:$D$101,3,FALSE)</f>
        <v>Informática</v>
      </c>
      <c r="N35" t="str">
        <f>VLOOKUP(B35,Clientes!$A$1:$E$101,3,FALSE)</f>
        <v>Santos</v>
      </c>
    </row>
    <row r="36" spans="1:14" x14ac:dyDescent="0.3">
      <c r="A36">
        <v>1035</v>
      </c>
      <c r="B36">
        <v>44</v>
      </c>
      <c r="C36">
        <v>160</v>
      </c>
      <c r="D36" s="3">
        <v>46074</v>
      </c>
      <c r="E36">
        <v>1</v>
      </c>
      <c r="F36" t="s">
        <v>99</v>
      </c>
      <c r="G36" t="s">
        <v>102</v>
      </c>
      <c r="H36" s="2">
        <v>624</v>
      </c>
      <c r="I36" s="4">
        <v>0</v>
      </c>
      <c r="J36" s="2">
        <v>624</v>
      </c>
      <c r="K36" s="2">
        <v>624</v>
      </c>
      <c r="L36" t="str">
        <f>VLOOKUP(C36,Produtos!$A$1:$D$101,2,FALSE)</f>
        <v xml:space="preserve">Mesa Digitalizadora </v>
      </c>
      <c r="M36" t="str">
        <f>VLOOKUP(C36,Produtos!$A$1:$D$101,3,FALSE)</f>
        <v>Informática</v>
      </c>
      <c r="N36" t="str">
        <f>VLOOKUP(B36,Clientes!$A$1:$E$101,3,FALSE)</f>
        <v>Piracicaba</v>
      </c>
    </row>
    <row r="37" spans="1:14" x14ac:dyDescent="0.3">
      <c r="A37">
        <v>1036</v>
      </c>
      <c r="B37">
        <v>90</v>
      </c>
      <c r="C37">
        <v>180</v>
      </c>
      <c r="D37" s="3">
        <v>46075</v>
      </c>
      <c r="E37">
        <v>2</v>
      </c>
      <c r="F37" t="s">
        <v>103</v>
      </c>
      <c r="G37" t="s">
        <v>100</v>
      </c>
      <c r="H37" s="2">
        <v>302.39999999999998</v>
      </c>
      <c r="I37" s="4">
        <v>0.1</v>
      </c>
      <c r="J37" s="2">
        <v>604.79999999999995</v>
      </c>
      <c r="K37" s="2">
        <v>544.32000000000005</v>
      </c>
      <c r="L37" t="str">
        <f>VLOOKUP(C37,Produtos!$A$1:$D$101,2,FALSE)</f>
        <v xml:space="preserve">Roteador </v>
      </c>
      <c r="M37" t="str">
        <f>VLOOKUP(C37,Produtos!$A$1:$D$101,3,FALSE)</f>
        <v>Informática</v>
      </c>
      <c r="N37" t="str">
        <f>VLOOKUP(B37,Clientes!$A$1:$E$101,3,FALSE)</f>
        <v>São José dos Campos</v>
      </c>
    </row>
    <row r="38" spans="1:14" x14ac:dyDescent="0.3">
      <c r="A38">
        <v>1037</v>
      </c>
      <c r="B38">
        <v>32</v>
      </c>
      <c r="C38">
        <v>115</v>
      </c>
      <c r="D38" s="3">
        <v>46077</v>
      </c>
      <c r="E38">
        <v>1</v>
      </c>
      <c r="F38" t="s">
        <v>101</v>
      </c>
      <c r="G38" t="s">
        <v>100</v>
      </c>
      <c r="H38" s="2">
        <v>500</v>
      </c>
      <c r="I38" s="4">
        <v>0</v>
      </c>
      <c r="J38" s="2">
        <v>500</v>
      </c>
      <c r="K38" s="2">
        <v>500</v>
      </c>
      <c r="L38" t="str">
        <f>VLOOKUP(C38,Produtos!$A$1:$D$101,2,FALSE)</f>
        <v>SSD</v>
      </c>
      <c r="M38" t="str">
        <f>VLOOKUP(C38,Produtos!$A$1:$D$101,3,FALSE)</f>
        <v>Informática</v>
      </c>
      <c r="N38" t="str">
        <f>VLOOKUP(B38,Clientes!$A$1:$E$101,3,FALSE)</f>
        <v>Santo André</v>
      </c>
    </row>
    <row r="39" spans="1:14" x14ac:dyDescent="0.3">
      <c r="A39">
        <v>1038</v>
      </c>
      <c r="B39">
        <v>70</v>
      </c>
      <c r="C39">
        <v>162</v>
      </c>
      <c r="D39" s="3">
        <v>46078</v>
      </c>
      <c r="E39">
        <v>1</v>
      </c>
      <c r="F39" t="s">
        <v>101</v>
      </c>
      <c r="G39" t="s">
        <v>100</v>
      </c>
      <c r="H39" s="2">
        <v>1296</v>
      </c>
      <c r="I39" s="4">
        <v>0</v>
      </c>
      <c r="J39" s="2">
        <v>1296</v>
      </c>
      <c r="K39" s="2">
        <v>1296</v>
      </c>
      <c r="L39" t="str">
        <f>VLOOKUP(C39,Produtos!$A$1:$D$101,2,FALSE)</f>
        <v xml:space="preserve">Monitor </v>
      </c>
      <c r="M39" t="str">
        <f>VLOOKUP(C39,Produtos!$A$1:$D$101,3,FALSE)</f>
        <v>Informática</v>
      </c>
      <c r="N39" t="str">
        <f>VLOOKUP(B39,Clientes!$A$1:$E$101,3,FALSE)</f>
        <v>Sorocaba</v>
      </c>
    </row>
    <row r="40" spans="1:14" x14ac:dyDescent="0.3">
      <c r="A40">
        <v>1039</v>
      </c>
      <c r="B40">
        <v>32</v>
      </c>
      <c r="C40">
        <v>162</v>
      </c>
      <c r="D40" s="3">
        <v>46080</v>
      </c>
      <c r="E40">
        <v>2</v>
      </c>
      <c r="F40" t="s">
        <v>99</v>
      </c>
      <c r="G40" t="s">
        <v>100</v>
      </c>
      <c r="H40" s="2">
        <v>1296</v>
      </c>
      <c r="I40" s="4">
        <v>0</v>
      </c>
      <c r="J40" s="2">
        <v>2592</v>
      </c>
      <c r="K40" s="2">
        <v>2592</v>
      </c>
      <c r="L40" t="str">
        <f>VLOOKUP(C40,Produtos!$A$1:$D$101,2,FALSE)</f>
        <v xml:space="preserve">Monitor </v>
      </c>
      <c r="M40" t="str">
        <f>VLOOKUP(C40,Produtos!$A$1:$D$101,3,FALSE)</f>
        <v>Informática</v>
      </c>
      <c r="N40" t="str">
        <f>VLOOKUP(B40,Clientes!$A$1:$E$101,3,FALSE)</f>
        <v>Santo André</v>
      </c>
    </row>
    <row r="41" spans="1:14" x14ac:dyDescent="0.3">
      <c r="A41">
        <v>1040</v>
      </c>
      <c r="B41">
        <v>68</v>
      </c>
      <c r="C41">
        <v>147</v>
      </c>
      <c r="D41" s="3">
        <v>46081</v>
      </c>
      <c r="E41">
        <v>1</v>
      </c>
      <c r="F41" t="s">
        <v>99</v>
      </c>
      <c r="G41" t="s">
        <v>100</v>
      </c>
      <c r="H41" s="2">
        <v>83.2</v>
      </c>
      <c r="I41" s="4">
        <v>0</v>
      </c>
      <c r="J41" s="2">
        <v>83.2</v>
      </c>
      <c r="K41" s="2">
        <v>83.2</v>
      </c>
      <c r="L41" t="str">
        <f>VLOOKUP(C41,Produtos!$A$1:$D$101,2,FALSE)</f>
        <v xml:space="preserve">Mousepad </v>
      </c>
      <c r="M41" t="str">
        <f>VLOOKUP(C41,Produtos!$A$1:$D$101,3,FALSE)</f>
        <v>Acessórios</v>
      </c>
      <c r="N41" t="str">
        <f>VLOOKUP(B41,Clientes!$A$1:$E$101,3,FALSE)</f>
        <v>Santos</v>
      </c>
    </row>
    <row r="42" spans="1:14" x14ac:dyDescent="0.3">
      <c r="A42">
        <v>1041</v>
      </c>
      <c r="B42">
        <v>55</v>
      </c>
      <c r="C42">
        <v>162</v>
      </c>
      <c r="D42" s="3">
        <v>46083</v>
      </c>
      <c r="E42">
        <v>1</v>
      </c>
      <c r="F42" t="s">
        <v>103</v>
      </c>
      <c r="G42" t="s">
        <v>100</v>
      </c>
      <c r="H42" s="2">
        <v>1296</v>
      </c>
      <c r="I42" s="4">
        <v>0</v>
      </c>
      <c r="J42" s="2">
        <v>1296</v>
      </c>
      <c r="K42" s="2">
        <v>1296</v>
      </c>
      <c r="L42" t="str">
        <f>VLOOKUP(C42,Produtos!$A$1:$D$101,2,FALSE)</f>
        <v xml:space="preserve">Monitor </v>
      </c>
      <c r="M42" t="str">
        <f>VLOOKUP(C42,Produtos!$A$1:$D$101,3,FALSE)</f>
        <v>Informática</v>
      </c>
      <c r="N42" t="str">
        <f>VLOOKUP(B42,Clientes!$A$1:$E$101,3,FALSE)</f>
        <v>Sorocaba</v>
      </c>
    </row>
    <row r="43" spans="1:14" x14ac:dyDescent="0.3">
      <c r="A43">
        <v>1042</v>
      </c>
      <c r="B43">
        <v>75</v>
      </c>
      <c r="C43">
        <v>151</v>
      </c>
      <c r="D43" s="3">
        <v>46084</v>
      </c>
      <c r="E43">
        <v>1</v>
      </c>
      <c r="F43" t="s">
        <v>101</v>
      </c>
      <c r="G43" t="s">
        <v>100</v>
      </c>
      <c r="H43" s="2">
        <v>270.39999999999998</v>
      </c>
      <c r="I43" s="4">
        <v>0.05</v>
      </c>
      <c r="J43" s="2">
        <v>270.39999999999998</v>
      </c>
      <c r="K43" s="2">
        <v>256.88</v>
      </c>
      <c r="L43" t="str">
        <f>VLOOKUP(C43,Produtos!$A$1:$D$101,2,FALSE)</f>
        <v xml:space="preserve">Estabilizador </v>
      </c>
      <c r="M43" t="str">
        <f>VLOOKUP(C43,Produtos!$A$1:$D$101,3,FALSE)</f>
        <v>Informática</v>
      </c>
      <c r="N43" t="str">
        <f>VLOOKUP(B43,Clientes!$A$1:$E$101,3,FALSE)</f>
        <v>São José dos Campos</v>
      </c>
    </row>
    <row r="44" spans="1:14" x14ac:dyDescent="0.3">
      <c r="A44">
        <v>1043</v>
      </c>
      <c r="B44">
        <v>56</v>
      </c>
      <c r="C44">
        <v>155</v>
      </c>
      <c r="D44" s="3">
        <v>46086</v>
      </c>
      <c r="E44">
        <v>1</v>
      </c>
      <c r="F44" t="s">
        <v>99</v>
      </c>
      <c r="G44" t="s">
        <v>102</v>
      </c>
      <c r="H44" s="2">
        <v>187.2</v>
      </c>
      <c r="I44" s="4">
        <v>0</v>
      </c>
      <c r="J44" s="2">
        <v>187.2</v>
      </c>
      <c r="K44" s="2">
        <v>187.2</v>
      </c>
      <c r="L44" t="str">
        <f>VLOOKUP(C44,Produtos!$A$1:$D$101,2,FALSE)</f>
        <v xml:space="preserve">Luminária </v>
      </c>
      <c r="M44" t="str">
        <f>VLOOKUP(C44,Produtos!$A$1:$D$101,3,FALSE)</f>
        <v>Móveis</v>
      </c>
      <c r="N44" t="str">
        <f>VLOOKUP(B44,Clientes!$A$1:$E$101,3,FALSE)</f>
        <v>Jundiaí</v>
      </c>
    </row>
    <row r="45" spans="1:14" x14ac:dyDescent="0.3">
      <c r="A45">
        <v>1044</v>
      </c>
      <c r="B45">
        <v>17</v>
      </c>
      <c r="C45">
        <v>164</v>
      </c>
      <c r="D45" s="3">
        <v>46087</v>
      </c>
      <c r="E45">
        <v>4</v>
      </c>
      <c r="F45" t="s">
        <v>103</v>
      </c>
      <c r="G45" t="s">
        <v>104</v>
      </c>
      <c r="H45" s="2">
        <v>97.2</v>
      </c>
      <c r="I45" s="4">
        <v>0.1</v>
      </c>
      <c r="J45" s="2">
        <v>388.8</v>
      </c>
      <c r="K45" s="2">
        <v>349.92</v>
      </c>
      <c r="L45" t="str">
        <f>VLOOKUP(C45,Produtos!$A$1:$D$101,2,FALSE)</f>
        <v xml:space="preserve">Mouse </v>
      </c>
      <c r="M45" t="str">
        <f>VLOOKUP(C45,Produtos!$A$1:$D$101,3,FALSE)</f>
        <v>Informática</v>
      </c>
      <c r="N45" t="str">
        <f>VLOOKUP(B45,Clientes!$A$1:$E$101,3,FALSE)</f>
        <v>Santo André</v>
      </c>
    </row>
    <row r="46" spans="1:14" x14ac:dyDescent="0.3">
      <c r="A46">
        <v>1045</v>
      </c>
      <c r="B46">
        <v>38</v>
      </c>
      <c r="C46">
        <v>103</v>
      </c>
      <c r="D46" s="3">
        <v>46089</v>
      </c>
      <c r="E46">
        <v>1</v>
      </c>
      <c r="F46" t="s">
        <v>101</v>
      </c>
      <c r="G46" t="s">
        <v>100</v>
      </c>
      <c r="H46" s="2">
        <v>180</v>
      </c>
      <c r="I46" s="4">
        <v>0.1</v>
      </c>
      <c r="J46" s="2">
        <v>180</v>
      </c>
      <c r="K46" s="2">
        <v>162</v>
      </c>
      <c r="L46" t="str">
        <f>VLOOKUP(C46,Produtos!$A$1:$D$101,2,FALSE)</f>
        <v>Teclado</v>
      </c>
      <c r="M46" t="str">
        <f>VLOOKUP(C46,Produtos!$A$1:$D$101,3,FALSE)</f>
        <v>Informática</v>
      </c>
      <c r="N46" t="str">
        <f>VLOOKUP(B46,Clientes!$A$1:$E$101,3,FALSE)</f>
        <v>Santos</v>
      </c>
    </row>
    <row r="47" spans="1:14" x14ac:dyDescent="0.3">
      <c r="A47">
        <v>1046</v>
      </c>
      <c r="B47">
        <v>24</v>
      </c>
      <c r="C47">
        <v>151</v>
      </c>
      <c r="D47" s="3">
        <v>46090</v>
      </c>
      <c r="E47">
        <v>3</v>
      </c>
      <c r="F47" t="s">
        <v>101</v>
      </c>
      <c r="G47" t="s">
        <v>100</v>
      </c>
      <c r="H47" s="2">
        <v>270.39999999999998</v>
      </c>
      <c r="I47" s="4">
        <v>0</v>
      </c>
      <c r="J47" s="2">
        <v>811.2</v>
      </c>
      <c r="K47" s="2">
        <v>811.2</v>
      </c>
      <c r="L47" t="str">
        <f>VLOOKUP(C47,Produtos!$A$1:$D$101,2,FALSE)</f>
        <v xml:space="preserve">Estabilizador </v>
      </c>
      <c r="M47" t="str">
        <f>VLOOKUP(C47,Produtos!$A$1:$D$101,3,FALSE)</f>
        <v>Informática</v>
      </c>
      <c r="N47" t="str">
        <f>VLOOKUP(B47,Clientes!$A$1:$E$101,3,FALSE)</f>
        <v>Campinas</v>
      </c>
    </row>
    <row r="48" spans="1:14" x14ac:dyDescent="0.3">
      <c r="A48">
        <v>1047</v>
      </c>
      <c r="B48">
        <v>69</v>
      </c>
      <c r="C48">
        <v>107</v>
      </c>
      <c r="D48" s="3">
        <v>46092</v>
      </c>
      <c r="E48">
        <v>1</v>
      </c>
      <c r="F48" t="s">
        <v>101</v>
      </c>
      <c r="G48" t="s">
        <v>102</v>
      </c>
      <c r="H48" s="2">
        <v>250</v>
      </c>
      <c r="I48" s="4">
        <v>0</v>
      </c>
      <c r="J48" s="2">
        <v>250</v>
      </c>
      <c r="K48" s="2">
        <v>250</v>
      </c>
      <c r="L48" t="str">
        <f>VLOOKUP(C48,Produtos!$A$1:$D$101,2,FALSE)</f>
        <v>Fone de Ouvido</v>
      </c>
      <c r="M48" t="str">
        <f>VLOOKUP(C48,Produtos!$A$1:$D$101,3,FALSE)</f>
        <v>Eletrônicos</v>
      </c>
      <c r="N48" t="str">
        <f>VLOOKUP(B48,Clientes!$A$1:$E$101,3,FALSE)</f>
        <v>Campinas</v>
      </c>
    </row>
    <row r="49" spans="1:14" x14ac:dyDescent="0.3">
      <c r="A49">
        <v>1048</v>
      </c>
      <c r="B49">
        <v>98</v>
      </c>
      <c r="C49">
        <v>121</v>
      </c>
      <c r="D49" s="3">
        <v>46093</v>
      </c>
      <c r="E49">
        <v>2</v>
      </c>
      <c r="F49" t="s">
        <v>99</v>
      </c>
      <c r="G49" t="s">
        <v>100</v>
      </c>
      <c r="H49" s="2">
        <v>260</v>
      </c>
      <c r="I49" s="4">
        <v>0</v>
      </c>
      <c r="J49" s="2">
        <v>520</v>
      </c>
      <c r="K49" s="2">
        <v>520</v>
      </c>
      <c r="L49" t="str">
        <f>VLOOKUP(C49,Produtos!$A$1:$D$101,2,FALSE)</f>
        <v>Estabilizador</v>
      </c>
      <c r="M49" t="str">
        <f>VLOOKUP(C49,Produtos!$A$1:$D$101,3,FALSE)</f>
        <v>Informática</v>
      </c>
      <c r="N49" t="str">
        <f>VLOOKUP(B49,Clientes!$A$1:$E$101,3,FALSE)</f>
        <v>Santos</v>
      </c>
    </row>
    <row r="50" spans="1:14" x14ac:dyDescent="0.3">
      <c r="A50">
        <v>1049</v>
      </c>
      <c r="B50">
        <v>70</v>
      </c>
      <c r="C50">
        <v>173</v>
      </c>
      <c r="D50" s="3">
        <v>46095</v>
      </c>
      <c r="E50">
        <v>2</v>
      </c>
      <c r="F50" t="s">
        <v>99</v>
      </c>
      <c r="G50" t="s">
        <v>100</v>
      </c>
      <c r="H50" s="2">
        <v>1944</v>
      </c>
      <c r="I50" s="4">
        <v>0.05</v>
      </c>
      <c r="J50" s="2">
        <v>3888</v>
      </c>
      <c r="K50" s="2">
        <v>3693.6</v>
      </c>
      <c r="L50" t="str">
        <f>VLOOKUP(C50,Produtos!$A$1:$D$101,2,FALSE)</f>
        <v xml:space="preserve">Tablet </v>
      </c>
      <c r="M50" t="str">
        <f>VLOOKUP(C50,Produtos!$A$1:$D$101,3,FALSE)</f>
        <v>Eletrônicos</v>
      </c>
      <c r="N50" t="str">
        <f>VLOOKUP(B50,Clientes!$A$1:$E$101,3,FALSE)</f>
        <v>Sorocaba</v>
      </c>
    </row>
    <row r="51" spans="1:14" x14ac:dyDescent="0.3">
      <c r="A51">
        <v>1050</v>
      </c>
      <c r="B51">
        <v>86</v>
      </c>
      <c r="C51">
        <v>139</v>
      </c>
      <c r="D51" s="3">
        <v>46096</v>
      </c>
      <c r="E51">
        <v>2</v>
      </c>
      <c r="F51" t="s">
        <v>103</v>
      </c>
      <c r="G51" t="s">
        <v>100</v>
      </c>
      <c r="H51" s="2">
        <v>988</v>
      </c>
      <c r="I51" s="4">
        <v>0</v>
      </c>
      <c r="J51" s="2">
        <v>1976</v>
      </c>
      <c r="K51" s="2">
        <v>1976</v>
      </c>
      <c r="L51" t="str">
        <f>VLOOKUP(C51,Produtos!$A$1:$D$101,2,FALSE)</f>
        <v xml:space="preserve">Impressora </v>
      </c>
      <c r="M51" t="str">
        <f>VLOOKUP(C51,Produtos!$A$1:$D$101,3,FALSE)</f>
        <v>Informática</v>
      </c>
      <c r="N51" t="str">
        <f>VLOOKUP(B51,Clientes!$A$1:$E$101,3,FALSE)</f>
        <v>Jundiaí</v>
      </c>
    </row>
    <row r="52" spans="1:14" x14ac:dyDescent="0.3">
      <c r="A52">
        <v>1051</v>
      </c>
      <c r="B52">
        <v>11</v>
      </c>
      <c r="C52">
        <v>118</v>
      </c>
      <c r="D52" s="3">
        <v>46098</v>
      </c>
      <c r="E52">
        <v>1</v>
      </c>
      <c r="F52" t="s">
        <v>101</v>
      </c>
      <c r="G52" t="s">
        <v>100</v>
      </c>
      <c r="H52" s="2">
        <v>140</v>
      </c>
      <c r="I52" s="4">
        <v>0.05</v>
      </c>
      <c r="J52" s="2">
        <v>140</v>
      </c>
      <c r="K52" s="2">
        <v>133</v>
      </c>
      <c r="L52" t="str">
        <f>VLOOKUP(C52,Produtos!$A$1:$D$101,2,FALSE)</f>
        <v>Suporte Notebook</v>
      </c>
      <c r="M52" t="str">
        <f>VLOOKUP(C52,Produtos!$A$1:$D$101,3,FALSE)</f>
        <v>Acessórios</v>
      </c>
      <c r="N52" t="str">
        <f>VLOOKUP(B52,Clientes!$A$1:$E$101,3,FALSE)</f>
        <v>Jundiaí</v>
      </c>
    </row>
    <row r="53" spans="1:14" x14ac:dyDescent="0.3">
      <c r="A53">
        <v>1052</v>
      </c>
      <c r="B53">
        <v>16</v>
      </c>
      <c r="C53">
        <v>104</v>
      </c>
      <c r="D53" s="3">
        <v>46099</v>
      </c>
      <c r="E53">
        <v>1</v>
      </c>
      <c r="F53" t="s">
        <v>101</v>
      </c>
      <c r="G53" t="s">
        <v>104</v>
      </c>
      <c r="H53" s="2">
        <v>90</v>
      </c>
      <c r="I53" s="4">
        <v>0</v>
      </c>
      <c r="J53" s="2">
        <v>90</v>
      </c>
      <c r="K53" s="2">
        <v>90</v>
      </c>
      <c r="L53" t="str">
        <f>VLOOKUP(C53,Produtos!$A$1:$D$101,2,FALSE)</f>
        <v>Mouse</v>
      </c>
      <c r="M53" t="str">
        <f>VLOOKUP(C53,Produtos!$A$1:$D$101,3,FALSE)</f>
        <v>Informática</v>
      </c>
      <c r="N53" t="str">
        <f>VLOOKUP(B53,Clientes!$A$1:$E$101,3,FALSE)</f>
        <v>São Paulo</v>
      </c>
    </row>
    <row r="54" spans="1:14" x14ac:dyDescent="0.3">
      <c r="A54">
        <v>1053</v>
      </c>
      <c r="B54">
        <v>97</v>
      </c>
      <c r="C54">
        <v>189</v>
      </c>
      <c r="D54" s="3">
        <v>46101</v>
      </c>
      <c r="E54">
        <v>1</v>
      </c>
      <c r="F54" t="s">
        <v>103</v>
      </c>
      <c r="G54" t="s">
        <v>102</v>
      </c>
      <c r="H54" s="2">
        <v>702</v>
      </c>
      <c r="I54" s="4">
        <v>0.05</v>
      </c>
      <c r="J54" s="2">
        <v>702</v>
      </c>
      <c r="K54" s="2">
        <v>666.9</v>
      </c>
      <c r="L54" t="str">
        <f>VLOOKUP(C54,Produtos!$A$1:$D$101,2,FALSE)</f>
        <v xml:space="preserve">Smartwatch </v>
      </c>
      <c r="M54" t="str">
        <f>VLOOKUP(C54,Produtos!$A$1:$D$101,3,FALSE)</f>
        <v>Eletrônicos</v>
      </c>
      <c r="N54" t="str">
        <f>VLOOKUP(B54,Clientes!$A$1:$E$101,3,FALSE)</f>
        <v>Mogi das Cruzes</v>
      </c>
    </row>
    <row r="55" spans="1:14" x14ac:dyDescent="0.3">
      <c r="A55">
        <v>1054</v>
      </c>
      <c r="B55">
        <v>73</v>
      </c>
      <c r="C55">
        <v>160</v>
      </c>
      <c r="D55" s="3">
        <v>46102</v>
      </c>
      <c r="E55">
        <v>3</v>
      </c>
      <c r="F55" t="s">
        <v>103</v>
      </c>
      <c r="G55" t="s">
        <v>100</v>
      </c>
      <c r="H55" s="2">
        <v>624</v>
      </c>
      <c r="I55" s="4">
        <v>0</v>
      </c>
      <c r="J55" s="2">
        <v>1872</v>
      </c>
      <c r="K55" s="2">
        <v>1872</v>
      </c>
      <c r="L55" t="str">
        <f>VLOOKUP(C55,Produtos!$A$1:$D$101,2,FALSE)</f>
        <v xml:space="preserve">Mesa Digitalizadora </v>
      </c>
      <c r="M55" t="str">
        <f>VLOOKUP(C55,Produtos!$A$1:$D$101,3,FALSE)</f>
        <v>Informática</v>
      </c>
      <c r="N55" t="str">
        <f>VLOOKUP(B55,Clientes!$A$1:$E$101,3,FALSE)</f>
        <v>Bauru</v>
      </c>
    </row>
    <row r="56" spans="1:14" x14ac:dyDescent="0.3">
      <c r="A56">
        <v>1055</v>
      </c>
      <c r="B56">
        <v>59</v>
      </c>
      <c r="C56">
        <v>114</v>
      </c>
      <c r="D56" s="3">
        <v>46104</v>
      </c>
      <c r="E56">
        <v>3</v>
      </c>
      <c r="F56" t="s">
        <v>103</v>
      </c>
      <c r="G56" t="s">
        <v>100</v>
      </c>
      <c r="H56" s="2">
        <v>450</v>
      </c>
      <c r="I56" s="4">
        <v>0</v>
      </c>
      <c r="J56" s="2">
        <v>1350</v>
      </c>
      <c r="K56" s="2">
        <v>1350</v>
      </c>
      <c r="L56" t="str">
        <f>VLOOKUP(C56,Produtos!$A$1:$D$101,2,FALSE)</f>
        <v>HD Externo</v>
      </c>
      <c r="M56" t="str">
        <f>VLOOKUP(C56,Produtos!$A$1:$D$101,3,FALSE)</f>
        <v>Informática</v>
      </c>
      <c r="N56" t="str">
        <f>VLOOKUP(B56,Clientes!$A$1:$E$101,3,FALSE)</f>
        <v>Piracicaba</v>
      </c>
    </row>
    <row r="57" spans="1:14" x14ac:dyDescent="0.3">
      <c r="A57">
        <v>1056</v>
      </c>
      <c r="B57">
        <v>70</v>
      </c>
      <c r="C57">
        <v>109</v>
      </c>
      <c r="D57" s="3">
        <v>46105</v>
      </c>
      <c r="E57">
        <v>4</v>
      </c>
      <c r="F57" t="s">
        <v>101</v>
      </c>
      <c r="G57" t="s">
        <v>100</v>
      </c>
      <c r="H57" s="2">
        <v>950</v>
      </c>
      <c r="I57" s="4">
        <v>0.1</v>
      </c>
      <c r="J57" s="2">
        <v>3800</v>
      </c>
      <c r="K57" s="2">
        <v>3420</v>
      </c>
      <c r="L57" t="str">
        <f>VLOOKUP(C57,Produtos!$A$1:$D$101,2,FALSE)</f>
        <v>Impressora</v>
      </c>
      <c r="M57" t="str">
        <f>VLOOKUP(C57,Produtos!$A$1:$D$101,3,FALSE)</f>
        <v>Informática</v>
      </c>
      <c r="N57" t="str">
        <f>VLOOKUP(B57,Clientes!$A$1:$E$101,3,FALSE)</f>
        <v>Sorocaba</v>
      </c>
    </row>
    <row r="58" spans="1:14" x14ac:dyDescent="0.3">
      <c r="A58">
        <v>1057</v>
      </c>
      <c r="B58">
        <v>80</v>
      </c>
      <c r="C58">
        <v>190</v>
      </c>
      <c r="D58" s="3">
        <v>46107</v>
      </c>
      <c r="E58">
        <v>1</v>
      </c>
      <c r="F58" t="s">
        <v>101</v>
      </c>
      <c r="G58" t="s">
        <v>100</v>
      </c>
      <c r="H58" s="2">
        <v>648</v>
      </c>
      <c r="I58" s="4">
        <v>0.05</v>
      </c>
      <c r="J58" s="2">
        <v>648</v>
      </c>
      <c r="K58" s="2">
        <v>615.6</v>
      </c>
      <c r="L58" t="str">
        <f>VLOOKUP(C58,Produtos!$A$1:$D$101,2,FALSE)</f>
        <v xml:space="preserve">Mesa Digitalizadora </v>
      </c>
      <c r="M58" t="str">
        <f>VLOOKUP(C58,Produtos!$A$1:$D$101,3,FALSE)</f>
        <v>Informática</v>
      </c>
      <c r="N58" t="str">
        <f>VLOOKUP(B58,Clientes!$A$1:$E$101,3,FALSE)</f>
        <v>Guarulhos</v>
      </c>
    </row>
    <row r="59" spans="1:14" x14ac:dyDescent="0.3">
      <c r="A59">
        <v>1058</v>
      </c>
      <c r="B59">
        <v>93</v>
      </c>
      <c r="C59">
        <v>153</v>
      </c>
      <c r="D59" s="3">
        <v>46108</v>
      </c>
      <c r="E59">
        <v>2</v>
      </c>
      <c r="F59" t="s">
        <v>103</v>
      </c>
      <c r="G59" t="s">
        <v>100</v>
      </c>
      <c r="H59" s="2">
        <v>1508</v>
      </c>
      <c r="I59" s="4">
        <v>0</v>
      </c>
      <c r="J59" s="2">
        <v>3016</v>
      </c>
      <c r="K59" s="2">
        <v>3016</v>
      </c>
      <c r="L59" t="str">
        <f>VLOOKUP(C59,Produtos!$A$1:$D$101,2,FALSE)</f>
        <v xml:space="preserve">Cadeira Gamer </v>
      </c>
      <c r="M59" t="str">
        <f>VLOOKUP(C59,Produtos!$A$1:$D$101,3,FALSE)</f>
        <v>Móveis</v>
      </c>
      <c r="N59" t="str">
        <f>VLOOKUP(B59,Clientes!$A$1:$E$101,3,FALSE)</f>
        <v>Mauá</v>
      </c>
    </row>
    <row r="60" spans="1:14" x14ac:dyDescent="0.3">
      <c r="A60">
        <v>1059</v>
      </c>
      <c r="B60">
        <v>3</v>
      </c>
      <c r="C60">
        <v>102</v>
      </c>
      <c r="D60" s="3">
        <v>46110</v>
      </c>
      <c r="E60">
        <v>3</v>
      </c>
      <c r="F60" t="s">
        <v>99</v>
      </c>
      <c r="G60" t="s">
        <v>100</v>
      </c>
      <c r="H60" s="2">
        <v>1200</v>
      </c>
      <c r="I60" s="4">
        <v>0.1</v>
      </c>
      <c r="J60" s="2">
        <v>3600</v>
      </c>
      <c r="K60" s="2">
        <v>3240</v>
      </c>
      <c r="L60" t="str">
        <f>VLOOKUP(C60,Produtos!$A$1:$D$101,2,FALSE)</f>
        <v>Monitor</v>
      </c>
      <c r="M60" t="str">
        <f>VLOOKUP(C60,Produtos!$A$1:$D$101,3,FALSE)</f>
        <v>Informática</v>
      </c>
      <c r="N60" t="str">
        <f>VLOOKUP(B60,Clientes!$A$1:$E$101,3,FALSE)</f>
        <v>Mauá</v>
      </c>
    </row>
    <row r="61" spans="1:14" x14ac:dyDescent="0.3">
      <c r="A61">
        <v>1060</v>
      </c>
      <c r="B61">
        <v>20</v>
      </c>
      <c r="C61">
        <v>184</v>
      </c>
      <c r="D61" s="3">
        <v>46111</v>
      </c>
      <c r="E61">
        <v>1</v>
      </c>
      <c r="F61" t="s">
        <v>103</v>
      </c>
      <c r="G61" t="s">
        <v>102</v>
      </c>
      <c r="H61" s="2">
        <v>1404</v>
      </c>
      <c r="I61" s="4">
        <v>0</v>
      </c>
      <c r="J61" s="2">
        <v>1404</v>
      </c>
      <c r="K61" s="2">
        <v>1404</v>
      </c>
      <c r="L61" t="str">
        <f>VLOOKUP(C61,Produtos!$A$1:$D$101,2,FALSE)</f>
        <v xml:space="preserve">Armário </v>
      </c>
      <c r="M61" t="str">
        <f>VLOOKUP(C61,Produtos!$A$1:$D$101,3,FALSE)</f>
        <v>Móveis</v>
      </c>
      <c r="N61" t="str">
        <f>VLOOKUP(B61,Clientes!$A$1:$E$101,3,FALSE)</f>
        <v>Guarulhos</v>
      </c>
    </row>
    <row r="62" spans="1:14" x14ac:dyDescent="0.3">
      <c r="A62">
        <v>1061</v>
      </c>
      <c r="B62">
        <v>59</v>
      </c>
      <c r="C62">
        <v>192</v>
      </c>
      <c r="D62" s="3">
        <v>46113</v>
      </c>
      <c r="E62">
        <v>1</v>
      </c>
      <c r="F62" t="s">
        <v>101</v>
      </c>
      <c r="G62" t="s">
        <v>100</v>
      </c>
      <c r="H62" s="2">
        <v>1344</v>
      </c>
      <c r="I62" s="4">
        <v>0.1</v>
      </c>
      <c r="J62" s="2">
        <v>1344</v>
      </c>
      <c r="K62" s="2">
        <v>1209.5999999999999</v>
      </c>
      <c r="L62" t="str">
        <f>VLOOKUP(C62,Produtos!$A$1:$D$101,2,FALSE)</f>
        <v xml:space="preserve">Monitor </v>
      </c>
      <c r="M62" t="str">
        <f>VLOOKUP(C62,Produtos!$A$1:$D$101,3,FALSE)</f>
        <v>Informática</v>
      </c>
      <c r="N62" t="str">
        <f>VLOOKUP(B62,Clientes!$A$1:$E$101,3,FALSE)</f>
        <v>Piracicaba</v>
      </c>
    </row>
    <row r="63" spans="1:14" x14ac:dyDescent="0.3">
      <c r="A63">
        <v>1062</v>
      </c>
      <c r="B63">
        <v>36</v>
      </c>
      <c r="C63">
        <v>160</v>
      </c>
      <c r="D63" s="3">
        <v>46114</v>
      </c>
      <c r="E63">
        <v>2</v>
      </c>
      <c r="F63" t="s">
        <v>101</v>
      </c>
      <c r="G63" t="s">
        <v>100</v>
      </c>
      <c r="H63" s="2">
        <v>624</v>
      </c>
      <c r="I63" s="4">
        <v>0.05</v>
      </c>
      <c r="J63" s="2">
        <v>1248</v>
      </c>
      <c r="K63" s="2">
        <v>1185.5999999999999</v>
      </c>
      <c r="L63" t="str">
        <f>VLOOKUP(C63,Produtos!$A$1:$D$101,2,FALSE)</f>
        <v xml:space="preserve">Mesa Digitalizadora </v>
      </c>
      <c r="M63" t="str">
        <f>VLOOKUP(C63,Produtos!$A$1:$D$101,3,FALSE)</f>
        <v>Informática</v>
      </c>
      <c r="N63" t="str">
        <f>VLOOKUP(B63,Clientes!$A$1:$E$101,3,FALSE)</f>
        <v>Osasco</v>
      </c>
    </row>
    <row r="64" spans="1:14" x14ac:dyDescent="0.3">
      <c r="A64">
        <v>1063</v>
      </c>
      <c r="B64">
        <v>19</v>
      </c>
      <c r="C64">
        <v>171</v>
      </c>
      <c r="D64" s="3">
        <v>46116</v>
      </c>
      <c r="E64">
        <v>2</v>
      </c>
      <c r="F64" t="s">
        <v>101</v>
      </c>
      <c r="G64" t="s">
        <v>104</v>
      </c>
      <c r="H64" s="2">
        <v>345.6</v>
      </c>
      <c r="I64" s="4">
        <v>0</v>
      </c>
      <c r="J64" s="2">
        <v>691.2</v>
      </c>
      <c r="K64" s="2">
        <v>691.2</v>
      </c>
      <c r="L64" t="str">
        <f>VLOOKUP(C64,Produtos!$A$1:$D$101,2,FALSE)</f>
        <v xml:space="preserve">Webcam </v>
      </c>
      <c r="M64" t="str">
        <f>VLOOKUP(C64,Produtos!$A$1:$D$101,3,FALSE)</f>
        <v>Informática</v>
      </c>
      <c r="N64" t="str">
        <f>VLOOKUP(B64,Clientes!$A$1:$E$101,3,FALSE)</f>
        <v>São Bernardo do Campo</v>
      </c>
    </row>
    <row r="65" spans="1:14" x14ac:dyDescent="0.3">
      <c r="A65">
        <v>1064</v>
      </c>
      <c r="B65">
        <v>90</v>
      </c>
      <c r="C65">
        <v>144</v>
      </c>
      <c r="D65" s="3">
        <v>46117</v>
      </c>
      <c r="E65">
        <v>3</v>
      </c>
      <c r="F65" t="s">
        <v>103</v>
      </c>
      <c r="G65" t="s">
        <v>102</v>
      </c>
      <c r="H65" s="2">
        <v>468</v>
      </c>
      <c r="I65" s="4">
        <v>0</v>
      </c>
      <c r="J65" s="2">
        <v>1404</v>
      </c>
      <c r="K65" s="2">
        <v>1404</v>
      </c>
      <c r="L65" t="str">
        <f>VLOOKUP(C65,Produtos!$A$1:$D$101,2,FALSE)</f>
        <v xml:space="preserve">HD Externo </v>
      </c>
      <c r="M65" t="str">
        <f>VLOOKUP(C65,Produtos!$A$1:$D$101,3,FALSE)</f>
        <v>Informática</v>
      </c>
      <c r="N65" t="str">
        <f>VLOOKUP(B65,Clientes!$A$1:$E$101,3,FALSE)</f>
        <v>São José dos Campos</v>
      </c>
    </row>
    <row r="66" spans="1:14" x14ac:dyDescent="0.3">
      <c r="A66">
        <v>1065</v>
      </c>
      <c r="B66">
        <v>67</v>
      </c>
      <c r="C66">
        <v>108</v>
      </c>
      <c r="D66" s="3">
        <v>46119</v>
      </c>
      <c r="E66">
        <v>1</v>
      </c>
      <c r="F66" t="s">
        <v>103</v>
      </c>
      <c r="G66" t="s">
        <v>100</v>
      </c>
      <c r="H66" s="2">
        <v>2200</v>
      </c>
      <c r="I66" s="4">
        <v>0</v>
      </c>
      <c r="J66" s="2">
        <v>2200</v>
      </c>
      <c r="K66" s="2">
        <v>2200</v>
      </c>
      <c r="L66" t="str">
        <f>VLOOKUP(C66,Produtos!$A$1:$D$101,2,FALSE)</f>
        <v>Smartphone</v>
      </c>
      <c r="M66" t="str">
        <f>VLOOKUP(C66,Produtos!$A$1:$D$101,3,FALSE)</f>
        <v>Eletrônicos</v>
      </c>
      <c r="N66" t="str">
        <f>VLOOKUP(B66,Clientes!$A$1:$E$101,3,FALSE)</f>
        <v>Mogi das Cruzes</v>
      </c>
    </row>
    <row r="67" spans="1:14" x14ac:dyDescent="0.3">
      <c r="A67">
        <v>1066</v>
      </c>
      <c r="B67">
        <v>19</v>
      </c>
      <c r="C67">
        <v>147</v>
      </c>
      <c r="D67" s="3">
        <v>46120</v>
      </c>
      <c r="E67">
        <v>2</v>
      </c>
      <c r="F67" t="s">
        <v>103</v>
      </c>
      <c r="G67" t="s">
        <v>100</v>
      </c>
      <c r="H67" s="2">
        <v>83.2</v>
      </c>
      <c r="I67" s="4">
        <v>0</v>
      </c>
      <c r="J67" s="2">
        <v>166.4</v>
      </c>
      <c r="K67" s="2">
        <v>166.4</v>
      </c>
      <c r="L67" t="str">
        <f>VLOOKUP(C67,Produtos!$A$1:$D$101,2,FALSE)</f>
        <v xml:space="preserve">Mousepad </v>
      </c>
      <c r="M67" t="str">
        <f>VLOOKUP(C67,Produtos!$A$1:$D$101,3,FALSE)</f>
        <v>Acessórios</v>
      </c>
      <c r="N67" t="str">
        <f>VLOOKUP(B67,Clientes!$A$1:$E$101,3,FALSE)</f>
        <v>São Bernardo do Campo</v>
      </c>
    </row>
    <row r="68" spans="1:14" x14ac:dyDescent="0.3">
      <c r="A68">
        <v>1067</v>
      </c>
      <c r="B68">
        <v>20</v>
      </c>
      <c r="C68">
        <v>135</v>
      </c>
      <c r="D68" s="3">
        <v>46122</v>
      </c>
      <c r="E68">
        <v>1</v>
      </c>
      <c r="F68" t="s">
        <v>103</v>
      </c>
      <c r="G68" t="s">
        <v>100</v>
      </c>
      <c r="H68" s="2">
        <v>884</v>
      </c>
      <c r="I68" s="4">
        <v>0.05</v>
      </c>
      <c r="J68" s="2">
        <v>884</v>
      </c>
      <c r="K68" s="2">
        <v>839.8</v>
      </c>
      <c r="L68" t="str">
        <f>VLOOKUP(C68,Produtos!$A$1:$D$101,2,FALSE)</f>
        <v xml:space="preserve">Cadeira Escritório </v>
      </c>
      <c r="M68" t="str">
        <f>VLOOKUP(C68,Produtos!$A$1:$D$101,3,FALSE)</f>
        <v>Móveis</v>
      </c>
      <c r="N68" t="str">
        <f>VLOOKUP(B68,Clientes!$A$1:$E$101,3,FALSE)</f>
        <v>Guarulhos</v>
      </c>
    </row>
    <row r="69" spans="1:14" x14ac:dyDescent="0.3">
      <c r="A69">
        <v>1068</v>
      </c>
      <c r="B69">
        <v>96</v>
      </c>
      <c r="C69">
        <v>178</v>
      </c>
      <c r="D69" s="3">
        <v>46123</v>
      </c>
      <c r="E69">
        <v>1</v>
      </c>
      <c r="F69" t="s">
        <v>101</v>
      </c>
      <c r="G69" t="s">
        <v>100</v>
      </c>
      <c r="H69" s="2">
        <v>151.19999999999999</v>
      </c>
      <c r="I69" s="4">
        <v>0</v>
      </c>
      <c r="J69" s="2">
        <v>151.19999999999999</v>
      </c>
      <c r="K69" s="2">
        <v>151.19999999999999</v>
      </c>
      <c r="L69" t="str">
        <f>VLOOKUP(C69,Produtos!$A$1:$D$101,2,FALSE)</f>
        <v xml:space="preserve">Suporte Notebook </v>
      </c>
      <c r="M69" t="str">
        <f>VLOOKUP(C69,Produtos!$A$1:$D$101,3,FALSE)</f>
        <v>Acessórios</v>
      </c>
      <c r="N69" t="str">
        <f>VLOOKUP(B69,Clientes!$A$1:$E$101,3,FALSE)</f>
        <v>Osasco</v>
      </c>
    </row>
    <row r="70" spans="1:14" x14ac:dyDescent="0.3">
      <c r="A70">
        <v>1069</v>
      </c>
      <c r="B70">
        <v>71</v>
      </c>
      <c r="C70">
        <v>181</v>
      </c>
      <c r="D70" s="3">
        <v>46125</v>
      </c>
      <c r="E70">
        <v>1</v>
      </c>
      <c r="F70" t="s">
        <v>101</v>
      </c>
      <c r="G70" t="s">
        <v>100</v>
      </c>
      <c r="H70" s="2">
        <v>280.8</v>
      </c>
      <c r="I70" s="4">
        <v>0</v>
      </c>
      <c r="J70" s="2">
        <v>280.8</v>
      </c>
      <c r="K70" s="2">
        <v>280.8</v>
      </c>
      <c r="L70" t="str">
        <f>VLOOKUP(C70,Produtos!$A$1:$D$101,2,FALSE)</f>
        <v xml:space="preserve">Estabilizador </v>
      </c>
      <c r="M70" t="str">
        <f>VLOOKUP(C70,Produtos!$A$1:$D$101,3,FALSE)</f>
        <v>Informática</v>
      </c>
      <c r="N70" t="str">
        <f>VLOOKUP(B70,Clientes!$A$1:$E$101,3,FALSE)</f>
        <v>Jundiaí</v>
      </c>
    </row>
    <row r="71" spans="1:14" x14ac:dyDescent="0.3">
      <c r="A71">
        <v>1070</v>
      </c>
      <c r="B71">
        <v>52</v>
      </c>
      <c r="C71">
        <v>136</v>
      </c>
      <c r="D71" s="3">
        <v>46126</v>
      </c>
      <c r="E71">
        <v>3</v>
      </c>
      <c r="F71" t="s">
        <v>101</v>
      </c>
      <c r="G71" t="s">
        <v>102</v>
      </c>
      <c r="H71" s="2">
        <v>1144</v>
      </c>
      <c r="I71" s="4">
        <v>0.1</v>
      </c>
      <c r="J71" s="2">
        <v>3432</v>
      </c>
      <c r="K71" s="2">
        <v>3088.8</v>
      </c>
      <c r="L71" t="str">
        <f>VLOOKUP(C71,Produtos!$A$1:$D$101,2,FALSE)</f>
        <v xml:space="preserve">Mesa Escritório </v>
      </c>
      <c r="M71" t="str">
        <f>VLOOKUP(C71,Produtos!$A$1:$D$101,3,FALSE)</f>
        <v>Móveis</v>
      </c>
      <c r="N71" t="str">
        <f>VLOOKUP(B71,Clientes!$A$1:$E$101,3,FALSE)</f>
        <v>Mogi das Cruzes</v>
      </c>
    </row>
    <row r="72" spans="1:14" x14ac:dyDescent="0.3">
      <c r="A72">
        <v>1071</v>
      </c>
      <c r="B72">
        <v>33</v>
      </c>
      <c r="C72">
        <v>150</v>
      </c>
      <c r="D72" s="3">
        <v>46128</v>
      </c>
      <c r="E72">
        <v>2</v>
      </c>
      <c r="F72" t="s">
        <v>101</v>
      </c>
      <c r="G72" t="s">
        <v>100</v>
      </c>
      <c r="H72" s="2">
        <v>291.2</v>
      </c>
      <c r="I72" s="4">
        <v>0.15</v>
      </c>
      <c r="J72" s="2">
        <v>582.4</v>
      </c>
      <c r="K72" s="2">
        <v>495.04</v>
      </c>
      <c r="L72" t="str">
        <f>VLOOKUP(C72,Produtos!$A$1:$D$101,2,FALSE)</f>
        <v xml:space="preserve">Roteador </v>
      </c>
      <c r="M72" t="str">
        <f>VLOOKUP(C72,Produtos!$A$1:$D$101,3,FALSE)</f>
        <v>Informática</v>
      </c>
      <c r="N72" t="str">
        <f>VLOOKUP(B72,Clientes!$A$1:$E$101,3,FALSE)</f>
        <v>Mauá</v>
      </c>
    </row>
    <row r="73" spans="1:14" x14ac:dyDescent="0.3">
      <c r="A73">
        <v>1072</v>
      </c>
      <c r="B73">
        <v>40</v>
      </c>
      <c r="C73">
        <v>104</v>
      </c>
      <c r="D73" s="3">
        <v>46129</v>
      </c>
      <c r="E73">
        <v>2</v>
      </c>
      <c r="F73" t="s">
        <v>99</v>
      </c>
      <c r="G73" t="s">
        <v>100</v>
      </c>
      <c r="H73" s="2">
        <v>90</v>
      </c>
      <c r="I73" s="4">
        <v>0</v>
      </c>
      <c r="J73" s="2">
        <v>180</v>
      </c>
      <c r="K73" s="2">
        <v>180</v>
      </c>
      <c r="L73" t="str">
        <f>VLOOKUP(C73,Produtos!$A$1:$D$101,2,FALSE)</f>
        <v>Mouse</v>
      </c>
      <c r="M73" t="str">
        <f>VLOOKUP(C73,Produtos!$A$1:$D$101,3,FALSE)</f>
        <v>Informática</v>
      </c>
      <c r="N73" t="str">
        <f>VLOOKUP(B73,Clientes!$A$1:$E$101,3,FALSE)</f>
        <v>Sorocaba</v>
      </c>
    </row>
    <row r="74" spans="1:14" x14ac:dyDescent="0.3">
      <c r="A74">
        <v>1073</v>
      </c>
      <c r="B74">
        <v>39</v>
      </c>
      <c r="C74">
        <v>102</v>
      </c>
      <c r="D74" s="3">
        <v>46131</v>
      </c>
      <c r="E74">
        <v>1</v>
      </c>
      <c r="F74" t="s">
        <v>99</v>
      </c>
      <c r="G74" t="s">
        <v>100</v>
      </c>
      <c r="H74" s="2">
        <v>1200</v>
      </c>
      <c r="I74" s="4">
        <v>0</v>
      </c>
      <c r="J74" s="2">
        <v>1200</v>
      </c>
      <c r="K74" s="2">
        <v>1200</v>
      </c>
      <c r="L74" t="str">
        <f>VLOOKUP(C74,Produtos!$A$1:$D$101,2,FALSE)</f>
        <v>Monitor</v>
      </c>
      <c r="M74" t="str">
        <f>VLOOKUP(C74,Produtos!$A$1:$D$101,3,FALSE)</f>
        <v>Informática</v>
      </c>
      <c r="N74" t="str">
        <f>VLOOKUP(B74,Clientes!$A$1:$E$101,3,FALSE)</f>
        <v>Campinas</v>
      </c>
    </row>
    <row r="75" spans="1:14" x14ac:dyDescent="0.3">
      <c r="A75">
        <v>1074</v>
      </c>
      <c r="B75">
        <v>82</v>
      </c>
      <c r="C75">
        <v>106</v>
      </c>
      <c r="D75" s="3">
        <v>46132</v>
      </c>
      <c r="E75">
        <v>3</v>
      </c>
      <c r="F75" t="s">
        <v>101</v>
      </c>
      <c r="G75" t="s">
        <v>100</v>
      </c>
      <c r="H75" s="2">
        <v>1100</v>
      </c>
      <c r="I75" s="4">
        <v>0</v>
      </c>
      <c r="J75" s="2">
        <v>3300</v>
      </c>
      <c r="K75" s="2">
        <v>3300</v>
      </c>
      <c r="L75" t="str">
        <f>VLOOKUP(C75,Produtos!$A$1:$D$101,2,FALSE)</f>
        <v>Mesa Escritório</v>
      </c>
      <c r="M75" t="str">
        <f>VLOOKUP(C75,Produtos!$A$1:$D$101,3,FALSE)</f>
        <v>Móveis</v>
      </c>
      <c r="N75" t="str">
        <f>VLOOKUP(B75,Clientes!$A$1:$E$101,3,FALSE)</f>
        <v>Mogi das Cruzes</v>
      </c>
    </row>
    <row r="76" spans="1:14" x14ac:dyDescent="0.3">
      <c r="A76">
        <v>1075</v>
      </c>
      <c r="B76">
        <v>1</v>
      </c>
      <c r="C76">
        <v>154</v>
      </c>
      <c r="D76" s="3">
        <v>46134</v>
      </c>
      <c r="E76">
        <v>1</v>
      </c>
      <c r="F76" t="s">
        <v>101</v>
      </c>
      <c r="G76" t="s">
        <v>102</v>
      </c>
      <c r="H76" s="2">
        <v>1352</v>
      </c>
      <c r="I76" s="4">
        <v>0</v>
      </c>
      <c r="J76" s="2">
        <v>1352</v>
      </c>
      <c r="K76" s="2">
        <v>1352</v>
      </c>
      <c r="L76" t="str">
        <f>VLOOKUP(C76,Produtos!$A$1:$D$101,2,FALSE)</f>
        <v xml:space="preserve">Armário </v>
      </c>
      <c r="M76" t="str">
        <f>VLOOKUP(C76,Produtos!$A$1:$D$101,3,FALSE)</f>
        <v>Móveis</v>
      </c>
      <c r="N76" t="str">
        <f>VLOOKUP(B76,Clientes!$A$1:$E$101,3,FALSE)</f>
        <v>São Paulo</v>
      </c>
    </row>
    <row r="77" spans="1:14" x14ac:dyDescent="0.3">
      <c r="A77">
        <v>1076</v>
      </c>
      <c r="B77">
        <v>11</v>
      </c>
      <c r="C77">
        <v>104</v>
      </c>
      <c r="D77" s="3">
        <v>46135</v>
      </c>
      <c r="E77">
        <v>3</v>
      </c>
      <c r="F77" t="s">
        <v>103</v>
      </c>
      <c r="G77" t="s">
        <v>102</v>
      </c>
      <c r="H77" s="2">
        <v>90</v>
      </c>
      <c r="I77" s="4">
        <v>0.1</v>
      </c>
      <c r="J77" s="2">
        <v>270</v>
      </c>
      <c r="K77" s="2">
        <v>243</v>
      </c>
      <c r="L77" t="str">
        <f>VLOOKUP(C77,Produtos!$A$1:$D$101,2,FALSE)</f>
        <v>Mouse</v>
      </c>
      <c r="M77" t="str">
        <f>VLOOKUP(C77,Produtos!$A$1:$D$101,3,FALSE)</f>
        <v>Informática</v>
      </c>
      <c r="N77" t="str">
        <f>VLOOKUP(B77,Clientes!$A$1:$E$101,3,FALSE)</f>
        <v>Jundiaí</v>
      </c>
    </row>
    <row r="78" spans="1:14" x14ac:dyDescent="0.3">
      <c r="A78">
        <v>1077</v>
      </c>
      <c r="B78">
        <v>92</v>
      </c>
      <c r="C78">
        <v>154</v>
      </c>
      <c r="D78" s="3">
        <v>46137</v>
      </c>
      <c r="E78">
        <v>1</v>
      </c>
      <c r="F78" t="s">
        <v>103</v>
      </c>
      <c r="G78" t="s">
        <v>100</v>
      </c>
      <c r="H78" s="2">
        <v>1352</v>
      </c>
      <c r="I78" s="4">
        <v>0</v>
      </c>
      <c r="J78" s="2">
        <v>1352</v>
      </c>
      <c r="K78" s="2">
        <v>1352</v>
      </c>
      <c r="L78" t="str">
        <f>VLOOKUP(C78,Produtos!$A$1:$D$101,2,FALSE)</f>
        <v xml:space="preserve">Armário </v>
      </c>
      <c r="M78" t="str">
        <f>VLOOKUP(C78,Produtos!$A$1:$D$101,3,FALSE)</f>
        <v>Móveis</v>
      </c>
      <c r="N78" t="str">
        <f>VLOOKUP(B78,Clientes!$A$1:$E$101,3,FALSE)</f>
        <v>Santo André</v>
      </c>
    </row>
    <row r="79" spans="1:14" x14ac:dyDescent="0.3">
      <c r="A79">
        <v>1078</v>
      </c>
      <c r="B79">
        <v>57</v>
      </c>
      <c r="C79">
        <v>193</v>
      </c>
      <c r="D79" s="3">
        <v>46138</v>
      </c>
      <c r="E79">
        <v>1</v>
      </c>
      <c r="F79" t="s">
        <v>103</v>
      </c>
      <c r="G79" t="s">
        <v>100</v>
      </c>
      <c r="H79" s="2">
        <v>201.6</v>
      </c>
      <c r="I79" s="4">
        <v>0.05</v>
      </c>
      <c r="J79" s="2">
        <v>201.6</v>
      </c>
      <c r="K79" s="2">
        <v>191.52</v>
      </c>
      <c r="L79" t="str">
        <f>VLOOKUP(C79,Produtos!$A$1:$D$101,2,FALSE)</f>
        <v xml:space="preserve">Teclado </v>
      </c>
      <c r="M79" t="str">
        <f>VLOOKUP(C79,Produtos!$A$1:$D$101,3,FALSE)</f>
        <v>Informática</v>
      </c>
      <c r="N79" t="str">
        <f>VLOOKUP(B79,Clientes!$A$1:$E$101,3,FALSE)</f>
        <v>Diadema</v>
      </c>
    </row>
    <row r="80" spans="1:14" x14ac:dyDescent="0.3">
      <c r="A80">
        <v>1079</v>
      </c>
      <c r="B80">
        <v>89</v>
      </c>
      <c r="C80">
        <v>163</v>
      </c>
      <c r="D80" s="3">
        <v>46140</v>
      </c>
      <c r="E80">
        <v>1</v>
      </c>
      <c r="F80" t="s">
        <v>101</v>
      </c>
      <c r="G80" t="s">
        <v>100</v>
      </c>
      <c r="H80" s="2">
        <v>194.4</v>
      </c>
      <c r="I80" s="4">
        <v>0</v>
      </c>
      <c r="J80" s="2">
        <v>194.4</v>
      </c>
      <c r="K80" s="2">
        <v>194.4</v>
      </c>
      <c r="L80" t="str">
        <f>VLOOKUP(C80,Produtos!$A$1:$D$101,2,FALSE)</f>
        <v xml:space="preserve">Teclado </v>
      </c>
      <c r="M80" t="str">
        <f>VLOOKUP(C80,Produtos!$A$1:$D$101,3,FALSE)</f>
        <v>Informática</v>
      </c>
      <c r="N80" t="str">
        <f>VLOOKUP(B80,Clientes!$A$1:$E$101,3,FALSE)</f>
        <v>Piracicaba</v>
      </c>
    </row>
    <row r="81" spans="1:14" x14ac:dyDescent="0.3">
      <c r="A81">
        <v>1080</v>
      </c>
      <c r="B81">
        <v>50</v>
      </c>
      <c r="C81">
        <v>118</v>
      </c>
      <c r="D81" s="3">
        <v>46141</v>
      </c>
      <c r="E81">
        <v>1</v>
      </c>
      <c r="F81" t="s">
        <v>99</v>
      </c>
      <c r="G81" t="s">
        <v>100</v>
      </c>
      <c r="H81" s="2">
        <v>140</v>
      </c>
      <c r="I81" s="4">
        <v>0.05</v>
      </c>
      <c r="J81" s="2">
        <v>140</v>
      </c>
      <c r="K81" s="2">
        <v>133</v>
      </c>
      <c r="L81" t="str">
        <f>VLOOKUP(C81,Produtos!$A$1:$D$101,2,FALSE)</f>
        <v>Suporte Notebook</v>
      </c>
      <c r="M81" t="str">
        <f>VLOOKUP(C81,Produtos!$A$1:$D$101,3,FALSE)</f>
        <v>Acessórios</v>
      </c>
      <c r="N81" t="str">
        <f>VLOOKUP(B81,Clientes!$A$1:$E$101,3,FALSE)</f>
        <v>Guarulhos</v>
      </c>
    </row>
    <row r="82" spans="1:14" x14ac:dyDescent="0.3">
      <c r="A82">
        <v>1081</v>
      </c>
      <c r="B82">
        <v>23</v>
      </c>
      <c r="C82">
        <v>190</v>
      </c>
      <c r="D82" s="3">
        <v>46143</v>
      </c>
      <c r="E82">
        <v>2</v>
      </c>
      <c r="F82" t="s">
        <v>103</v>
      </c>
      <c r="G82" t="s">
        <v>100</v>
      </c>
      <c r="H82" s="2">
        <v>648</v>
      </c>
      <c r="I82" s="4">
        <v>0.05</v>
      </c>
      <c r="J82" s="2">
        <v>1296</v>
      </c>
      <c r="K82" s="2">
        <v>1231.2</v>
      </c>
      <c r="L82" t="str">
        <f>VLOOKUP(C82,Produtos!$A$1:$D$101,2,FALSE)</f>
        <v xml:space="preserve">Mesa Digitalizadora </v>
      </c>
      <c r="M82" t="str">
        <f>VLOOKUP(C82,Produtos!$A$1:$D$101,3,FALSE)</f>
        <v>Informática</v>
      </c>
      <c r="N82" t="str">
        <f>VLOOKUP(B82,Clientes!$A$1:$E$101,3,FALSE)</f>
        <v>Santos</v>
      </c>
    </row>
    <row r="83" spans="1:14" x14ac:dyDescent="0.3">
      <c r="A83">
        <v>1082</v>
      </c>
      <c r="B83">
        <v>31</v>
      </c>
      <c r="C83">
        <v>144</v>
      </c>
      <c r="D83" s="3">
        <v>46144</v>
      </c>
      <c r="E83">
        <v>2</v>
      </c>
      <c r="F83" t="s">
        <v>99</v>
      </c>
      <c r="G83" t="s">
        <v>100</v>
      </c>
      <c r="H83" s="2">
        <v>468</v>
      </c>
      <c r="I83" s="4">
        <v>0.1</v>
      </c>
      <c r="J83" s="2">
        <v>936</v>
      </c>
      <c r="K83" s="2">
        <v>842.4</v>
      </c>
      <c r="L83" t="str">
        <f>VLOOKUP(C83,Produtos!$A$1:$D$101,2,FALSE)</f>
        <v xml:space="preserve">HD Externo </v>
      </c>
      <c r="M83" t="str">
        <f>VLOOKUP(C83,Produtos!$A$1:$D$101,3,FALSE)</f>
        <v>Informática</v>
      </c>
      <c r="N83" t="str">
        <f>VLOOKUP(B83,Clientes!$A$1:$E$101,3,FALSE)</f>
        <v>São Paulo</v>
      </c>
    </row>
    <row r="84" spans="1:14" x14ac:dyDescent="0.3">
      <c r="A84">
        <v>1083</v>
      </c>
      <c r="B84">
        <v>94</v>
      </c>
      <c r="C84">
        <v>134</v>
      </c>
      <c r="D84" s="3">
        <v>46146</v>
      </c>
      <c r="E84">
        <v>1</v>
      </c>
      <c r="F84" t="s">
        <v>99</v>
      </c>
      <c r="G84" t="s">
        <v>100</v>
      </c>
      <c r="H84" s="2">
        <v>93.6</v>
      </c>
      <c r="I84" s="4">
        <v>0</v>
      </c>
      <c r="J84" s="2">
        <v>93.6</v>
      </c>
      <c r="K84" s="2">
        <v>93.6</v>
      </c>
      <c r="L84" t="str">
        <f>VLOOKUP(C84,Produtos!$A$1:$D$101,2,FALSE)</f>
        <v xml:space="preserve">Mouse </v>
      </c>
      <c r="M84" t="str">
        <f>VLOOKUP(C84,Produtos!$A$1:$D$101,3,FALSE)</f>
        <v>Informática</v>
      </c>
      <c r="N84" t="str">
        <f>VLOOKUP(B84,Clientes!$A$1:$E$101,3,FALSE)</f>
        <v>São Bernardo do Campo</v>
      </c>
    </row>
    <row r="85" spans="1:14" x14ac:dyDescent="0.3">
      <c r="A85">
        <v>1084</v>
      </c>
      <c r="B85">
        <v>42</v>
      </c>
      <c r="C85">
        <v>174</v>
      </c>
      <c r="D85" s="3">
        <v>46147</v>
      </c>
      <c r="E85">
        <v>3</v>
      </c>
      <c r="F85" t="s">
        <v>103</v>
      </c>
      <c r="G85" t="s">
        <v>100</v>
      </c>
      <c r="H85" s="2">
        <v>486</v>
      </c>
      <c r="I85" s="4">
        <v>0</v>
      </c>
      <c r="J85" s="2">
        <v>1458</v>
      </c>
      <c r="K85" s="2">
        <v>1458</v>
      </c>
      <c r="L85" t="str">
        <f>VLOOKUP(C85,Produtos!$A$1:$D$101,2,FALSE)</f>
        <v xml:space="preserve">HD Externo </v>
      </c>
      <c r="M85" t="str">
        <f>VLOOKUP(C85,Produtos!$A$1:$D$101,3,FALSE)</f>
        <v>Informática</v>
      </c>
      <c r="N85" t="str">
        <f>VLOOKUP(B85,Clientes!$A$1:$E$101,3,FALSE)</f>
        <v>Diadema</v>
      </c>
    </row>
    <row r="86" spans="1:14" x14ac:dyDescent="0.3">
      <c r="A86">
        <v>1085</v>
      </c>
      <c r="B86">
        <v>99</v>
      </c>
      <c r="C86">
        <v>162</v>
      </c>
      <c r="D86" s="3">
        <v>46149</v>
      </c>
      <c r="E86">
        <v>1</v>
      </c>
      <c r="F86" t="s">
        <v>103</v>
      </c>
      <c r="G86" t="s">
        <v>100</v>
      </c>
      <c r="H86" s="2">
        <v>1296</v>
      </c>
      <c r="I86" s="4">
        <v>0</v>
      </c>
      <c r="J86" s="2">
        <v>1296</v>
      </c>
      <c r="K86" s="2">
        <v>1296</v>
      </c>
      <c r="L86" t="str">
        <f>VLOOKUP(C86,Produtos!$A$1:$D$101,2,FALSE)</f>
        <v xml:space="preserve">Monitor </v>
      </c>
      <c r="M86" t="str">
        <f>VLOOKUP(C86,Produtos!$A$1:$D$101,3,FALSE)</f>
        <v>Informática</v>
      </c>
      <c r="N86" t="str">
        <f>VLOOKUP(B86,Clientes!$A$1:$E$101,3,FALSE)</f>
        <v>Campinas</v>
      </c>
    </row>
    <row r="87" spans="1:14" x14ac:dyDescent="0.3">
      <c r="A87">
        <v>1086</v>
      </c>
      <c r="B87">
        <v>7</v>
      </c>
      <c r="C87">
        <v>200</v>
      </c>
      <c r="D87" s="3">
        <v>46150</v>
      </c>
      <c r="E87">
        <v>2</v>
      </c>
      <c r="F87" t="s">
        <v>99</v>
      </c>
      <c r="G87" t="s">
        <v>100</v>
      </c>
      <c r="H87" s="2">
        <v>179.2</v>
      </c>
      <c r="I87" s="4">
        <v>0.1</v>
      </c>
      <c r="J87" s="2">
        <v>358.4</v>
      </c>
      <c r="K87" s="2">
        <v>322.56</v>
      </c>
      <c r="L87" t="str">
        <f>VLOOKUP(C87,Produtos!$A$1:$D$101,2,FALSE)</f>
        <v xml:space="preserve">Mochila </v>
      </c>
      <c r="M87" t="str">
        <f>VLOOKUP(C87,Produtos!$A$1:$D$101,3,FALSE)</f>
        <v>Acessórios</v>
      </c>
      <c r="N87" t="str">
        <f>VLOOKUP(B87,Clientes!$A$1:$E$101,3,FALSE)</f>
        <v>Mogi das Cruzes</v>
      </c>
    </row>
    <row r="88" spans="1:14" x14ac:dyDescent="0.3">
      <c r="A88">
        <v>1087</v>
      </c>
      <c r="B88">
        <v>16</v>
      </c>
      <c r="C88">
        <v>114</v>
      </c>
      <c r="D88" s="3">
        <v>46152</v>
      </c>
      <c r="E88">
        <v>3</v>
      </c>
      <c r="F88" t="s">
        <v>99</v>
      </c>
      <c r="G88" t="s">
        <v>100</v>
      </c>
      <c r="H88" s="2">
        <v>450</v>
      </c>
      <c r="I88" s="4">
        <v>0.1</v>
      </c>
      <c r="J88" s="2">
        <v>1350</v>
      </c>
      <c r="K88" s="2">
        <v>1215</v>
      </c>
      <c r="L88" t="str">
        <f>VLOOKUP(C88,Produtos!$A$1:$D$101,2,FALSE)</f>
        <v>HD Externo</v>
      </c>
      <c r="M88" t="str">
        <f>VLOOKUP(C88,Produtos!$A$1:$D$101,3,FALSE)</f>
        <v>Informática</v>
      </c>
      <c r="N88" t="str">
        <f>VLOOKUP(B88,Clientes!$A$1:$E$101,3,FALSE)</f>
        <v>São Paulo</v>
      </c>
    </row>
    <row r="89" spans="1:14" x14ac:dyDescent="0.3">
      <c r="A89">
        <v>1088</v>
      </c>
      <c r="B89">
        <v>90</v>
      </c>
      <c r="C89">
        <v>195</v>
      </c>
      <c r="D89" s="3">
        <v>46153</v>
      </c>
      <c r="E89">
        <v>2</v>
      </c>
      <c r="F89" t="s">
        <v>99</v>
      </c>
      <c r="G89" t="s">
        <v>100</v>
      </c>
      <c r="H89" s="2">
        <v>952</v>
      </c>
      <c r="I89" s="4">
        <v>0.05</v>
      </c>
      <c r="J89" s="2">
        <v>1904</v>
      </c>
      <c r="K89" s="2">
        <v>1808.8</v>
      </c>
      <c r="L89" t="str">
        <f>VLOOKUP(C89,Produtos!$A$1:$D$101,2,FALSE)</f>
        <v xml:space="preserve">Cadeira Escritório </v>
      </c>
      <c r="M89" t="str">
        <f>VLOOKUP(C89,Produtos!$A$1:$D$101,3,FALSE)</f>
        <v>Móveis</v>
      </c>
      <c r="N89" t="str">
        <f>VLOOKUP(B89,Clientes!$A$1:$E$101,3,FALSE)</f>
        <v>São José dos Campos</v>
      </c>
    </row>
    <row r="90" spans="1:14" x14ac:dyDescent="0.3">
      <c r="A90">
        <v>1089</v>
      </c>
      <c r="B90">
        <v>60</v>
      </c>
      <c r="C90">
        <v>148</v>
      </c>
      <c r="D90" s="3">
        <v>46155</v>
      </c>
      <c r="E90">
        <v>1</v>
      </c>
      <c r="F90" t="s">
        <v>99</v>
      </c>
      <c r="G90" t="s">
        <v>100</v>
      </c>
      <c r="H90" s="2">
        <v>145.6</v>
      </c>
      <c r="I90" s="4">
        <v>0.05</v>
      </c>
      <c r="J90" s="2">
        <v>145.6</v>
      </c>
      <c r="K90" s="2">
        <v>138.32</v>
      </c>
      <c r="L90" t="str">
        <f>VLOOKUP(C90,Produtos!$A$1:$D$101,2,FALSE)</f>
        <v xml:space="preserve">Suporte Notebook </v>
      </c>
      <c r="M90" t="str">
        <f>VLOOKUP(C90,Produtos!$A$1:$D$101,3,FALSE)</f>
        <v>Acessórios</v>
      </c>
      <c r="N90" t="str">
        <f>VLOOKUP(B90,Clientes!$A$1:$E$101,3,FALSE)</f>
        <v>São José dos Campos</v>
      </c>
    </row>
    <row r="91" spans="1:14" x14ac:dyDescent="0.3">
      <c r="A91">
        <v>1090</v>
      </c>
      <c r="B91">
        <v>2</v>
      </c>
      <c r="C91">
        <v>115</v>
      </c>
      <c r="D91" s="3">
        <v>46156</v>
      </c>
      <c r="E91">
        <v>3</v>
      </c>
      <c r="F91" t="s">
        <v>101</v>
      </c>
      <c r="G91" t="s">
        <v>102</v>
      </c>
      <c r="H91" s="2">
        <v>500</v>
      </c>
      <c r="I91" s="4">
        <v>0.05</v>
      </c>
      <c r="J91" s="2">
        <v>1500</v>
      </c>
      <c r="K91" s="2">
        <v>1425</v>
      </c>
      <c r="L91" t="str">
        <f>VLOOKUP(C91,Produtos!$A$1:$D$101,2,FALSE)</f>
        <v>SSD</v>
      </c>
      <c r="M91" t="str">
        <f>VLOOKUP(C91,Produtos!$A$1:$D$101,3,FALSE)</f>
        <v>Informática</v>
      </c>
      <c r="N91" t="str">
        <f>VLOOKUP(B91,Clientes!$A$1:$E$101,3,FALSE)</f>
        <v>Santo André</v>
      </c>
    </row>
    <row r="92" spans="1:14" x14ac:dyDescent="0.3">
      <c r="A92">
        <v>1091</v>
      </c>
      <c r="B92">
        <v>1</v>
      </c>
      <c r="C92">
        <v>172</v>
      </c>
      <c r="D92" s="3">
        <v>46158</v>
      </c>
      <c r="E92">
        <v>2</v>
      </c>
      <c r="F92" t="s">
        <v>99</v>
      </c>
      <c r="G92" t="s">
        <v>100</v>
      </c>
      <c r="H92" s="2">
        <v>453.6</v>
      </c>
      <c r="I92" s="4">
        <v>0</v>
      </c>
      <c r="J92" s="2">
        <v>907.2</v>
      </c>
      <c r="K92" s="2">
        <v>907.2</v>
      </c>
      <c r="L92" t="str">
        <f>VLOOKUP(C92,Produtos!$A$1:$D$101,2,FALSE)</f>
        <v xml:space="preserve">Headset </v>
      </c>
      <c r="M92" t="str">
        <f>VLOOKUP(C92,Produtos!$A$1:$D$101,3,FALSE)</f>
        <v>Eletrônicos</v>
      </c>
      <c r="N92" t="str">
        <f>VLOOKUP(B92,Clientes!$A$1:$E$101,3,FALSE)</f>
        <v>São Paulo</v>
      </c>
    </row>
    <row r="93" spans="1:14" x14ac:dyDescent="0.3">
      <c r="A93">
        <v>1092</v>
      </c>
      <c r="B93">
        <v>48</v>
      </c>
      <c r="C93">
        <v>178</v>
      </c>
      <c r="D93" s="3">
        <v>46159</v>
      </c>
      <c r="E93">
        <v>1</v>
      </c>
      <c r="F93" t="s">
        <v>99</v>
      </c>
      <c r="G93" t="s">
        <v>100</v>
      </c>
      <c r="H93" s="2">
        <v>151.19999999999999</v>
      </c>
      <c r="I93" s="4">
        <v>0.1</v>
      </c>
      <c r="J93" s="2">
        <v>151.19999999999999</v>
      </c>
      <c r="K93" s="2">
        <v>136.08000000000001</v>
      </c>
      <c r="L93" t="str">
        <f>VLOOKUP(C93,Produtos!$A$1:$D$101,2,FALSE)</f>
        <v xml:space="preserve">Suporte Notebook </v>
      </c>
      <c r="M93" t="str">
        <f>VLOOKUP(C93,Produtos!$A$1:$D$101,3,FALSE)</f>
        <v>Acessórios</v>
      </c>
      <c r="N93" t="str">
        <f>VLOOKUP(B93,Clientes!$A$1:$E$101,3,FALSE)</f>
        <v>Mauá</v>
      </c>
    </row>
    <row r="94" spans="1:14" x14ac:dyDescent="0.3">
      <c r="A94">
        <v>1093</v>
      </c>
      <c r="B94">
        <v>12</v>
      </c>
      <c r="C94">
        <v>187</v>
      </c>
      <c r="D94" s="3">
        <v>46161</v>
      </c>
      <c r="E94">
        <v>1</v>
      </c>
      <c r="F94" t="s">
        <v>101</v>
      </c>
      <c r="G94" t="s">
        <v>100</v>
      </c>
      <c r="H94" s="2">
        <v>75.599999999999994</v>
      </c>
      <c r="I94" s="4">
        <v>0</v>
      </c>
      <c r="J94" s="2">
        <v>75.599999999999994</v>
      </c>
      <c r="K94" s="2">
        <v>75.599999999999994</v>
      </c>
      <c r="L94" t="str">
        <f>VLOOKUP(C94,Produtos!$A$1:$D$101,2,FALSE)</f>
        <v xml:space="preserve">Pen Drive </v>
      </c>
      <c r="M94" t="str">
        <f>VLOOKUP(C94,Produtos!$A$1:$D$101,3,FALSE)</f>
        <v>Informática</v>
      </c>
      <c r="N94" t="str">
        <f>VLOOKUP(B94,Clientes!$A$1:$E$101,3,FALSE)</f>
        <v>Diadema</v>
      </c>
    </row>
    <row r="95" spans="1:14" x14ac:dyDescent="0.3">
      <c r="A95">
        <v>1094</v>
      </c>
      <c r="B95">
        <v>69</v>
      </c>
      <c r="C95">
        <v>162</v>
      </c>
      <c r="D95" s="3">
        <v>46162</v>
      </c>
      <c r="E95">
        <v>2</v>
      </c>
      <c r="F95" t="s">
        <v>103</v>
      </c>
      <c r="G95" t="s">
        <v>100</v>
      </c>
      <c r="H95" s="2">
        <v>1296</v>
      </c>
      <c r="I95" s="4">
        <v>0</v>
      </c>
      <c r="J95" s="2">
        <v>2592</v>
      </c>
      <c r="K95" s="2">
        <v>2592</v>
      </c>
      <c r="L95" t="str">
        <f>VLOOKUP(C95,Produtos!$A$1:$D$101,2,FALSE)</f>
        <v xml:space="preserve">Monitor </v>
      </c>
      <c r="M95" t="str">
        <f>VLOOKUP(C95,Produtos!$A$1:$D$101,3,FALSE)</f>
        <v>Informática</v>
      </c>
      <c r="N95" t="str">
        <f>VLOOKUP(B95,Clientes!$A$1:$E$101,3,FALSE)</f>
        <v>Campinas</v>
      </c>
    </row>
    <row r="96" spans="1:14" x14ac:dyDescent="0.3">
      <c r="A96">
        <v>1095</v>
      </c>
      <c r="B96">
        <v>37</v>
      </c>
      <c r="C96">
        <v>140</v>
      </c>
      <c r="D96" s="3">
        <v>46164</v>
      </c>
      <c r="E96">
        <v>2</v>
      </c>
      <c r="F96" t="s">
        <v>103</v>
      </c>
      <c r="G96" t="s">
        <v>100</v>
      </c>
      <c r="H96" s="2">
        <v>166.4</v>
      </c>
      <c r="I96" s="4">
        <v>0</v>
      </c>
      <c r="J96" s="2">
        <v>332.8</v>
      </c>
      <c r="K96" s="2">
        <v>332.8</v>
      </c>
      <c r="L96" t="str">
        <f>VLOOKUP(C96,Produtos!$A$1:$D$101,2,FALSE)</f>
        <v xml:space="preserve">Mochila </v>
      </c>
      <c r="M96" t="str">
        <f>VLOOKUP(C96,Produtos!$A$1:$D$101,3,FALSE)</f>
        <v>Acessórios</v>
      </c>
      <c r="N96" t="str">
        <f>VLOOKUP(B96,Clientes!$A$1:$E$101,3,FALSE)</f>
        <v>Mogi das Cruzes</v>
      </c>
    </row>
    <row r="97" spans="1:14" x14ac:dyDescent="0.3">
      <c r="A97">
        <v>1096</v>
      </c>
      <c r="B97">
        <v>32</v>
      </c>
      <c r="C97">
        <v>185</v>
      </c>
      <c r="D97" s="3">
        <v>46165</v>
      </c>
      <c r="E97">
        <v>2</v>
      </c>
      <c r="F97" t="s">
        <v>103</v>
      </c>
      <c r="G97" t="s">
        <v>100</v>
      </c>
      <c r="H97" s="2">
        <v>194.4</v>
      </c>
      <c r="I97" s="4">
        <v>0</v>
      </c>
      <c r="J97" s="2">
        <v>388.8</v>
      </c>
      <c r="K97" s="2">
        <v>388.8</v>
      </c>
      <c r="L97" t="str">
        <f>VLOOKUP(C97,Produtos!$A$1:$D$101,2,FALSE)</f>
        <v xml:space="preserve">Luminária </v>
      </c>
      <c r="M97" t="str">
        <f>VLOOKUP(C97,Produtos!$A$1:$D$101,3,FALSE)</f>
        <v>Móveis</v>
      </c>
      <c r="N97" t="str">
        <f>VLOOKUP(B97,Clientes!$A$1:$E$101,3,FALSE)</f>
        <v>Santo André</v>
      </c>
    </row>
    <row r="98" spans="1:14" x14ac:dyDescent="0.3">
      <c r="A98">
        <v>1097</v>
      </c>
      <c r="B98">
        <v>9</v>
      </c>
      <c r="C98">
        <v>180</v>
      </c>
      <c r="D98" s="3">
        <v>46167</v>
      </c>
      <c r="E98">
        <v>3</v>
      </c>
      <c r="F98" t="s">
        <v>99</v>
      </c>
      <c r="G98" t="s">
        <v>104</v>
      </c>
      <c r="H98" s="2">
        <v>302.39999999999998</v>
      </c>
      <c r="I98" s="4">
        <v>0</v>
      </c>
      <c r="J98" s="2">
        <v>907.2</v>
      </c>
      <c r="K98" s="2">
        <v>907.2</v>
      </c>
      <c r="L98" t="str">
        <f>VLOOKUP(C98,Produtos!$A$1:$D$101,2,FALSE)</f>
        <v xml:space="preserve">Roteador </v>
      </c>
      <c r="M98" t="str">
        <f>VLOOKUP(C98,Produtos!$A$1:$D$101,3,FALSE)</f>
        <v>Informática</v>
      </c>
      <c r="N98" t="str">
        <f>VLOOKUP(B98,Clientes!$A$1:$E$101,3,FALSE)</f>
        <v>Campinas</v>
      </c>
    </row>
    <row r="99" spans="1:14" x14ac:dyDescent="0.3">
      <c r="A99">
        <v>1098</v>
      </c>
      <c r="B99">
        <v>99</v>
      </c>
      <c r="C99">
        <v>182</v>
      </c>
      <c r="D99" s="3">
        <v>46168</v>
      </c>
      <c r="E99">
        <v>2</v>
      </c>
      <c r="F99" t="s">
        <v>99</v>
      </c>
      <c r="G99" t="s">
        <v>100</v>
      </c>
      <c r="H99" s="2">
        <v>756</v>
      </c>
      <c r="I99" s="4">
        <v>0.05</v>
      </c>
      <c r="J99" s="2">
        <v>1512</v>
      </c>
      <c r="K99" s="2">
        <v>1436.4</v>
      </c>
      <c r="L99" t="str">
        <f>VLOOKUP(C99,Produtos!$A$1:$D$101,2,FALSE)</f>
        <v xml:space="preserve">Nobreak </v>
      </c>
      <c r="M99" t="str">
        <f>VLOOKUP(C99,Produtos!$A$1:$D$101,3,FALSE)</f>
        <v>Informática</v>
      </c>
      <c r="N99" t="str">
        <f>VLOOKUP(B99,Clientes!$A$1:$E$101,3,FALSE)</f>
        <v>Campinas</v>
      </c>
    </row>
    <row r="100" spans="1:14" x14ac:dyDescent="0.3">
      <c r="A100">
        <v>1099</v>
      </c>
      <c r="B100">
        <v>19</v>
      </c>
      <c r="C100">
        <v>153</v>
      </c>
      <c r="D100" s="3">
        <v>46170</v>
      </c>
      <c r="E100">
        <v>1</v>
      </c>
      <c r="F100" t="s">
        <v>99</v>
      </c>
      <c r="G100" t="s">
        <v>100</v>
      </c>
      <c r="H100" s="2">
        <v>1508</v>
      </c>
      <c r="I100" s="4">
        <v>0</v>
      </c>
      <c r="J100" s="2">
        <v>1508</v>
      </c>
      <c r="K100" s="2">
        <v>1508</v>
      </c>
      <c r="L100" t="str">
        <f>VLOOKUP(C100,Produtos!$A$1:$D$101,2,FALSE)</f>
        <v xml:space="preserve">Cadeira Gamer </v>
      </c>
      <c r="M100" t="str">
        <f>VLOOKUP(C100,Produtos!$A$1:$D$101,3,FALSE)</f>
        <v>Móveis</v>
      </c>
      <c r="N100" t="str">
        <f>VLOOKUP(B100,Clientes!$A$1:$E$101,3,FALSE)</f>
        <v>São Bernardo do Campo</v>
      </c>
    </row>
    <row r="101" spans="1:14" x14ac:dyDescent="0.3">
      <c r="A101">
        <v>1100</v>
      </c>
      <c r="B101">
        <v>48</v>
      </c>
      <c r="C101">
        <v>124</v>
      </c>
      <c r="D101" s="3">
        <v>46171</v>
      </c>
      <c r="E101">
        <v>1</v>
      </c>
      <c r="F101" t="s">
        <v>103</v>
      </c>
      <c r="G101" t="s">
        <v>100</v>
      </c>
      <c r="H101" s="2">
        <v>1300</v>
      </c>
      <c r="I101" s="4">
        <v>0.05</v>
      </c>
      <c r="J101" s="2">
        <v>1300</v>
      </c>
      <c r="K101" s="2">
        <v>1235</v>
      </c>
      <c r="L101" t="str">
        <f>VLOOKUP(C101,Produtos!$A$1:$D$101,2,FALSE)</f>
        <v>Armário</v>
      </c>
      <c r="M101" t="str">
        <f>VLOOKUP(C101,Produtos!$A$1:$D$101,3,FALSE)</f>
        <v>Móveis</v>
      </c>
      <c r="N101" t="str">
        <f>VLOOKUP(B101,Clientes!$A$1:$E$101,3,FALSE)</f>
        <v>Mauá</v>
      </c>
    </row>
    <row r="102" spans="1:14" x14ac:dyDescent="0.3">
      <c r="A102">
        <v>1101</v>
      </c>
      <c r="B102">
        <v>80</v>
      </c>
      <c r="C102">
        <v>126</v>
      </c>
      <c r="D102" s="3">
        <v>46173</v>
      </c>
      <c r="E102">
        <v>1</v>
      </c>
      <c r="F102" t="s">
        <v>103</v>
      </c>
      <c r="G102" t="s">
        <v>100</v>
      </c>
      <c r="H102" s="2">
        <v>120</v>
      </c>
      <c r="I102" s="4">
        <v>0</v>
      </c>
      <c r="J102" s="2">
        <v>120</v>
      </c>
      <c r="K102" s="2">
        <v>120</v>
      </c>
      <c r="L102" t="str">
        <f>VLOOKUP(C102,Produtos!$A$1:$D$101,2,FALSE)</f>
        <v>Hub USB</v>
      </c>
      <c r="M102" t="str">
        <f>VLOOKUP(C102,Produtos!$A$1:$D$101,3,FALSE)</f>
        <v>Informática</v>
      </c>
      <c r="N102" t="str">
        <f>VLOOKUP(B102,Clientes!$A$1:$E$101,3,FALSE)</f>
        <v>Guarulhos</v>
      </c>
    </row>
    <row r="103" spans="1:14" x14ac:dyDescent="0.3">
      <c r="A103">
        <v>1102</v>
      </c>
      <c r="B103">
        <v>3</v>
      </c>
      <c r="C103">
        <v>189</v>
      </c>
      <c r="D103" s="3">
        <v>46174</v>
      </c>
      <c r="E103">
        <v>2</v>
      </c>
      <c r="F103" t="s">
        <v>103</v>
      </c>
      <c r="G103" t="s">
        <v>100</v>
      </c>
      <c r="H103" s="2">
        <v>702</v>
      </c>
      <c r="I103" s="4">
        <v>0</v>
      </c>
      <c r="J103" s="2">
        <v>1404</v>
      </c>
      <c r="K103" s="2">
        <v>1404</v>
      </c>
      <c r="L103" t="str">
        <f>VLOOKUP(C103,Produtos!$A$1:$D$101,2,FALSE)</f>
        <v xml:space="preserve">Smartwatch </v>
      </c>
      <c r="M103" t="str">
        <f>VLOOKUP(C103,Produtos!$A$1:$D$101,3,FALSE)</f>
        <v>Eletrônicos</v>
      </c>
      <c r="N103" t="str">
        <f>VLOOKUP(B103,Clientes!$A$1:$E$101,3,FALSE)</f>
        <v>Mauá</v>
      </c>
    </row>
    <row r="104" spans="1:14" x14ac:dyDescent="0.3">
      <c r="A104">
        <v>1103</v>
      </c>
      <c r="B104">
        <v>20</v>
      </c>
      <c r="C104">
        <v>160</v>
      </c>
      <c r="D104" s="3">
        <v>46176</v>
      </c>
      <c r="E104">
        <v>1</v>
      </c>
      <c r="F104" t="s">
        <v>103</v>
      </c>
      <c r="G104" t="s">
        <v>104</v>
      </c>
      <c r="H104" s="2">
        <v>624</v>
      </c>
      <c r="I104" s="4">
        <v>0</v>
      </c>
      <c r="J104" s="2">
        <v>624</v>
      </c>
      <c r="K104" s="2">
        <v>624</v>
      </c>
      <c r="L104" t="str">
        <f>VLOOKUP(C104,Produtos!$A$1:$D$101,2,FALSE)</f>
        <v xml:space="preserve">Mesa Digitalizadora </v>
      </c>
      <c r="M104" t="str">
        <f>VLOOKUP(C104,Produtos!$A$1:$D$101,3,FALSE)</f>
        <v>Informática</v>
      </c>
      <c r="N104" t="str">
        <f>VLOOKUP(B104,Clientes!$A$1:$E$101,3,FALSE)</f>
        <v>Guarulhos</v>
      </c>
    </row>
    <row r="105" spans="1:14" x14ac:dyDescent="0.3">
      <c r="A105">
        <v>1104</v>
      </c>
      <c r="B105">
        <v>24</v>
      </c>
      <c r="C105">
        <v>141</v>
      </c>
      <c r="D105" s="3">
        <v>46177</v>
      </c>
      <c r="E105">
        <v>2</v>
      </c>
      <c r="F105" t="s">
        <v>99</v>
      </c>
      <c r="G105" t="s">
        <v>100</v>
      </c>
      <c r="H105" s="2">
        <v>332.8</v>
      </c>
      <c r="I105" s="4">
        <v>0</v>
      </c>
      <c r="J105" s="2">
        <v>665.6</v>
      </c>
      <c r="K105" s="2">
        <v>665.6</v>
      </c>
      <c r="L105" t="str">
        <f>VLOOKUP(C105,Produtos!$A$1:$D$101,2,FALSE)</f>
        <v xml:space="preserve">Webcam </v>
      </c>
      <c r="M105" t="str">
        <f>VLOOKUP(C105,Produtos!$A$1:$D$101,3,FALSE)</f>
        <v>Informática</v>
      </c>
      <c r="N105" t="str">
        <f>VLOOKUP(B105,Clientes!$A$1:$E$101,3,FALSE)</f>
        <v>Campinas</v>
      </c>
    </row>
    <row r="106" spans="1:14" x14ac:dyDescent="0.3">
      <c r="A106">
        <v>1105</v>
      </c>
      <c r="B106">
        <v>54</v>
      </c>
      <c r="C106">
        <v>129</v>
      </c>
      <c r="D106" s="3">
        <v>46179</v>
      </c>
      <c r="E106">
        <v>2</v>
      </c>
      <c r="F106" t="s">
        <v>103</v>
      </c>
      <c r="G106" t="s">
        <v>104</v>
      </c>
      <c r="H106" s="2">
        <v>650</v>
      </c>
      <c r="I106" s="4">
        <v>0.05</v>
      </c>
      <c r="J106" s="2">
        <v>1300</v>
      </c>
      <c r="K106" s="2">
        <v>1235</v>
      </c>
      <c r="L106" t="str">
        <f>VLOOKUP(C106,Produtos!$A$1:$D$101,2,FALSE)</f>
        <v>Smartwatch</v>
      </c>
      <c r="M106" t="str">
        <f>VLOOKUP(C106,Produtos!$A$1:$D$101,3,FALSE)</f>
        <v>Eletrônicos</v>
      </c>
      <c r="N106" t="str">
        <f>VLOOKUP(B106,Clientes!$A$1:$E$101,3,FALSE)</f>
        <v>Campinas</v>
      </c>
    </row>
    <row r="107" spans="1:14" x14ac:dyDescent="0.3">
      <c r="A107">
        <v>1106</v>
      </c>
      <c r="B107">
        <v>33</v>
      </c>
      <c r="C107">
        <v>115</v>
      </c>
      <c r="D107" s="3">
        <v>46180</v>
      </c>
      <c r="E107">
        <v>3</v>
      </c>
      <c r="F107" t="s">
        <v>103</v>
      </c>
      <c r="G107" t="s">
        <v>104</v>
      </c>
      <c r="H107" s="2">
        <v>500</v>
      </c>
      <c r="I107" s="4">
        <v>0</v>
      </c>
      <c r="J107" s="2">
        <v>1500</v>
      </c>
      <c r="K107" s="2">
        <v>1500</v>
      </c>
      <c r="L107" t="str">
        <f>VLOOKUP(C107,Produtos!$A$1:$D$101,2,FALSE)</f>
        <v>SSD</v>
      </c>
      <c r="M107" t="str">
        <f>VLOOKUP(C107,Produtos!$A$1:$D$101,3,FALSE)</f>
        <v>Informática</v>
      </c>
      <c r="N107" t="str">
        <f>VLOOKUP(B107,Clientes!$A$1:$E$101,3,FALSE)</f>
        <v>Mauá</v>
      </c>
    </row>
    <row r="108" spans="1:14" x14ac:dyDescent="0.3">
      <c r="A108">
        <v>1107</v>
      </c>
      <c r="B108">
        <v>24</v>
      </c>
      <c r="C108">
        <v>145</v>
      </c>
      <c r="D108" s="3">
        <v>46182</v>
      </c>
      <c r="E108">
        <v>1</v>
      </c>
      <c r="F108" t="s">
        <v>101</v>
      </c>
      <c r="G108" t="s">
        <v>100</v>
      </c>
      <c r="H108" s="2">
        <v>520</v>
      </c>
      <c r="I108" s="4">
        <v>0.05</v>
      </c>
      <c r="J108" s="2">
        <v>520</v>
      </c>
      <c r="K108" s="2">
        <v>494</v>
      </c>
      <c r="L108" t="str">
        <f>VLOOKUP(C108,Produtos!$A$1:$D$101,2,FALSE)</f>
        <v xml:space="preserve">SSD </v>
      </c>
      <c r="M108" t="str">
        <f>VLOOKUP(C108,Produtos!$A$1:$D$101,3,FALSE)</f>
        <v>Informática</v>
      </c>
      <c r="N108" t="str">
        <f>VLOOKUP(B108,Clientes!$A$1:$E$101,3,FALSE)</f>
        <v>Campinas</v>
      </c>
    </row>
    <row r="109" spans="1:14" x14ac:dyDescent="0.3">
      <c r="A109">
        <v>1108</v>
      </c>
      <c r="B109">
        <v>75</v>
      </c>
      <c r="C109">
        <v>165</v>
      </c>
      <c r="D109" s="3">
        <v>46183</v>
      </c>
      <c r="E109">
        <v>3</v>
      </c>
      <c r="F109" t="s">
        <v>103</v>
      </c>
      <c r="G109" t="s">
        <v>100</v>
      </c>
      <c r="H109" s="2">
        <v>918</v>
      </c>
      <c r="I109" s="4">
        <v>0</v>
      </c>
      <c r="J109" s="2">
        <v>2754</v>
      </c>
      <c r="K109" s="2">
        <v>2754</v>
      </c>
      <c r="L109" t="str">
        <f>VLOOKUP(C109,Produtos!$A$1:$D$101,2,FALSE)</f>
        <v xml:space="preserve">Cadeira Escritório </v>
      </c>
      <c r="M109" t="str">
        <f>VLOOKUP(C109,Produtos!$A$1:$D$101,3,FALSE)</f>
        <v>Móveis</v>
      </c>
      <c r="N109" t="str">
        <f>VLOOKUP(B109,Clientes!$A$1:$E$101,3,FALSE)</f>
        <v>São José dos Campos</v>
      </c>
    </row>
    <row r="110" spans="1:14" x14ac:dyDescent="0.3">
      <c r="A110">
        <v>1109</v>
      </c>
      <c r="B110">
        <v>72</v>
      </c>
      <c r="C110">
        <v>189</v>
      </c>
      <c r="D110" s="3">
        <v>46185</v>
      </c>
      <c r="E110">
        <v>1</v>
      </c>
      <c r="F110" t="s">
        <v>99</v>
      </c>
      <c r="G110" t="s">
        <v>100</v>
      </c>
      <c r="H110" s="2">
        <v>702</v>
      </c>
      <c r="I110" s="4">
        <v>0.05</v>
      </c>
      <c r="J110" s="2">
        <v>702</v>
      </c>
      <c r="K110" s="2">
        <v>666.9</v>
      </c>
      <c r="L110" t="str">
        <f>VLOOKUP(C110,Produtos!$A$1:$D$101,2,FALSE)</f>
        <v xml:space="preserve">Smartwatch </v>
      </c>
      <c r="M110" t="str">
        <f>VLOOKUP(C110,Produtos!$A$1:$D$101,3,FALSE)</f>
        <v>Eletrônicos</v>
      </c>
      <c r="N110" t="str">
        <f>VLOOKUP(B110,Clientes!$A$1:$E$101,3,FALSE)</f>
        <v>Diadema</v>
      </c>
    </row>
    <row r="111" spans="1:14" x14ac:dyDescent="0.3">
      <c r="A111">
        <v>1110</v>
      </c>
      <c r="B111">
        <v>36</v>
      </c>
      <c r="C111">
        <v>171</v>
      </c>
      <c r="D111" s="3">
        <v>46186</v>
      </c>
      <c r="E111">
        <v>3</v>
      </c>
      <c r="F111" t="s">
        <v>99</v>
      </c>
      <c r="G111" t="s">
        <v>100</v>
      </c>
      <c r="H111" s="2">
        <v>345.6</v>
      </c>
      <c r="I111" s="4">
        <v>0.1</v>
      </c>
      <c r="J111" s="2">
        <v>1036.8</v>
      </c>
      <c r="K111" s="2">
        <v>933.12</v>
      </c>
      <c r="L111" t="str">
        <f>VLOOKUP(C111,Produtos!$A$1:$D$101,2,FALSE)</f>
        <v xml:space="preserve">Webcam </v>
      </c>
      <c r="M111" t="str">
        <f>VLOOKUP(C111,Produtos!$A$1:$D$101,3,FALSE)</f>
        <v>Informática</v>
      </c>
      <c r="N111" t="str">
        <f>VLOOKUP(B111,Clientes!$A$1:$E$101,3,FALSE)</f>
        <v>Osasco</v>
      </c>
    </row>
    <row r="112" spans="1:14" x14ac:dyDescent="0.3">
      <c r="A112">
        <v>1111</v>
      </c>
      <c r="B112">
        <v>38</v>
      </c>
      <c r="C112">
        <v>109</v>
      </c>
      <c r="D112" s="3">
        <v>46188</v>
      </c>
      <c r="E112">
        <v>1</v>
      </c>
      <c r="F112" t="s">
        <v>103</v>
      </c>
      <c r="G112" t="s">
        <v>100</v>
      </c>
      <c r="H112" s="2">
        <v>950</v>
      </c>
      <c r="I112" s="4">
        <v>0.05</v>
      </c>
      <c r="J112" s="2">
        <v>950</v>
      </c>
      <c r="K112" s="2">
        <v>902.5</v>
      </c>
      <c r="L112" t="str">
        <f>VLOOKUP(C112,Produtos!$A$1:$D$101,2,FALSE)</f>
        <v>Impressora</v>
      </c>
      <c r="M112" t="str">
        <f>VLOOKUP(C112,Produtos!$A$1:$D$101,3,FALSE)</f>
        <v>Informática</v>
      </c>
      <c r="N112" t="str">
        <f>VLOOKUP(B112,Clientes!$A$1:$E$101,3,FALSE)</f>
        <v>Santos</v>
      </c>
    </row>
    <row r="113" spans="1:14" x14ac:dyDescent="0.3">
      <c r="A113">
        <v>1112</v>
      </c>
      <c r="B113">
        <v>84</v>
      </c>
      <c r="C113">
        <v>188</v>
      </c>
      <c r="D113" s="3">
        <v>46189</v>
      </c>
      <c r="E113">
        <v>1</v>
      </c>
      <c r="F113" t="s">
        <v>99</v>
      </c>
      <c r="G113" t="s">
        <v>100</v>
      </c>
      <c r="H113" s="2">
        <v>118.8</v>
      </c>
      <c r="I113" s="4">
        <v>0</v>
      </c>
      <c r="J113" s="2">
        <v>118.8</v>
      </c>
      <c r="K113" s="2">
        <v>118.8</v>
      </c>
      <c r="L113" t="str">
        <f>VLOOKUP(C113,Produtos!$A$1:$D$101,2,FALSE)</f>
        <v xml:space="preserve">Carregador </v>
      </c>
      <c r="M113" t="str">
        <f>VLOOKUP(C113,Produtos!$A$1:$D$101,3,FALSE)</f>
        <v>Eletrônicos</v>
      </c>
      <c r="N113" t="str">
        <f>VLOOKUP(B113,Clientes!$A$1:$E$101,3,FALSE)</f>
        <v>Campinas</v>
      </c>
    </row>
    <row r="114" spans="1:14" x14ac:dyDescent="0.3">
      <c r="A114">
        <v>1113</v>
      </c>
      <c r="B114">
        <v>99</v>
      </c>
      <c r="C114">
        <v>101</v>
      </c>
      <c r="D114" s="3">
        <v>46191</v>
      </c>
      <c r="E114">
        <v>2</v>
      </c>
      <c r="F114" t="s">
        <v>101</v>
      </c>
      <c r="G114" t="s">
        <v>100</v>
      </c>
      <c r="H114" s="2">
        <v>3500</v>
      </c>
      <c r="I114" s="4">
        <v>0</v>
      </c>
      <c r="J114" s="2">
        <v>7000</v>
      </c>
      <c r="K114" s="2">
        <v>7000</v>
      </c>
      <c r="L114" t="str">
        <f>VLOOKUP(C114,Produtos!$A$1:$D$101,2,FALSE)</f>
        <v>Notebook</v>
      </c>
      <c r="M114" t="str">
        <f>VLOOKUP(C114,Produtos!$A$1:$D$101,3,FALSE)</f>
        <v>Informática</v>
      </c>
      <c r="N114" t="str">
        <f>VLOOKUP(B114,Clientes!$A$1:$E$101,3,FALSE)</f>
        <v>Campinas</v>
      </c>
    </row>
    <row r="115" spans="1:14" x14ac:dyDescent="0.3">
      <c r="A115">
        <v>1114</v>
      </c>
      <c r="B115">
        <v>89</v>
      </c>
      <c r="C115">
        <v>108</v>
      </c>
      <c r="D115" s="3">
        <v>46192</v>
      </c>
      <c r="E115">
        <v>1</v>
      </c>
      <c r="F115" t="s">
        <v>101</v>
      </c>
      <c r="G115" t="s">
        <v>100</v>
      </c>
      <c r="H115" s="2">
        <v>2200</v>
      </c>
      <c r="I115" s="4">
        <v>0</v>
      </c>
      <c r="J115" s="2">
        <v>2200</v>
      </c>
      <c r="K115" s="2">
        <v>2200</v>
      </c>
      <c r="L115" t="str">
        <f>VLOOKUP(C115,Produtos!$A$1:$D$101,2,FALSE)</f>
        <v>Smartphone</v>
      </c>
      <c r="M115" t="str">
        <f>VLOOKUP(C115,Produtos!$A$1:$D$101,3,FALSE)</f>
        <v>Eletrônicos</v>
      </c>
      <c r="N115" t="str">
        <f>VLOOKUP(B115,Clientes!$A$1:$E$101,3,FALSE)</f>
        <v>Piracicaba</v>
      </c>
    </row>
    <row r="116" spans="1:14" x14ac:dyDescent="0.3">
      <c r="A116">
        <v>1115</v>
      </c>
      <c r="B116">
        <v>99</v>
      </c>
      <c r="C116">
        <v>188</v>
      </c>
      <c r="D116" s="3">
        <v>46194</v>
      </c>
      <c r="E116">
        <v>1</v>
      </c>
      <c r="F116" t="s">
        <v>103</v>
      </c>
      <c r="G116" t="s">
        <v>102</v>
      </c>
      <c r="H116" s="2">
        <v>118.8</v>
      </c>
      <c r="I116" s="4">
        <v>0.05</v>
      </c>
      <c r="J116" s="2">
        <v>118.8</v>
      </c>
      <c r="K116" s="2">
        <v>112.86</v>
      </c>
      <c r="L116" t="str">
        <f>VLOOKUP(C116,Produtos!$A$1:$D$101,2,FALSE)</f>
        <v xml:space="preserve">Carregador </v>
      </c>
      <c r="M116" t="str">
        <f>VLOOKUP(C116,Produtos!$A$1:$D$101,3,FALSE)</f>
        <v>Eletrônicos</v>
      </c>
      <c r="N116" t="str">
        <f>VLOOKUP(B116,Clientes!$A$1:$E$101,3,FALSE)</f>
        <v>Campinas</v>
      </c>
    </row>
    <row r="117" spans="1:14" x14ac:dyDescent="0.3">
      <c r="A117">
        <v>1116</v>
      </c>
      <c r="B117">
        <v>25</v>
      </c>
      <c r="C117">
        <v>163</v>
      </c>
      <c r="D117" s="3">
        <v>46195</v>
      </c>
      <c r="E117">
        <v>2</v>
      </c>
      <c r="F117" t="s">
        <v>101</v>
      </c>
      <c r="G117" t="s">
        <v>100</v>
      </c>
      <c r="H117" s="2">
        <v>194.4</v>
      </c>
      <c r="I117" s="4">
        <v>0</v>
      </c>
      <c r="J117" s="2">
        <v>388.8</v>
      </c>
      <c r="K117" s="2">
        <v>388.8</v>
      </c>
      <c r="L117" t="str">
        <f>VLOOKUP(C117,Produtos!$A$1:$D$101,2,FALSE)</f>
        <v xml:space="preserve">Teclado </v>
      </c>
      <c r="M117" t="str">
        <f>VLOOKUP(C117,Produtos!$A$1:$D$101,3,FALSE)</f>
        <v>Informática</v>
      </c>
      <c r="N117" t="str">
        <f>VLOOKUP(B117,Clientes!$A$1:$E$101,3,FALSE)</f>
        <v>Sorocaba</v>
      </c>
    </row>
    <row r="118" spans="1:14" x14ac:dyDescent="0.3">
      <c r="A118">
        <v>1117</v>
      </c>
      <c r="B118">
        <v>93</v>
      </c>
      <c r="C118">
        <v>111</v>
      </c>
      <c r="D118" s="3">
        <v>46197</v>
      </c>
      <c r="E118">
        <v>2</v>
      </c>
      <c r="F118" t="s">
        <v>103</v>
      </c>
      <c r="G118" t="s">
        <v>102</v>
      </c>
      <c r="H118" s="2">
        <v>320</v>
      </c>
      <c r="I118" s="4">
        <v>0</v>
      </c>
      <c r="J118" s="2">
        <v>640</v>
      </c>
      <c r="K118" s="2">
        <v>640</v>
      </c>
      <c r="L118" t="str">
        <f>VLOOKUP(C118,Produtos!$A$1:$D$101,2,FALSE)</f>
        <v>Webcam</v>
      </c>
      <c r="M118" t="str">
        <f>VLOOKUP(C118,Produtos!$A$1:$D$101,3,FALSE)</f>
        <v>Informática</v>
      </c>
      <c r="N118" t="str">
        <f>VLOOKUP(B118,Clientes!$A$1:$E$101,3,FALSE)</f>
        <v>Mauá</v>
      </c>
    </row>
    <row r="119" spans="1:14" x14ac:dyDescent="0.3">
      <c r="A119">
        <v>1118</v>
      </c>
      <c r="B119">
        <v>18</v>
      </c>
      <c r="C119">
        <v>181</v>
      </c>
      <c r="D119" s="3">
        <v>46198</v>
      </c>
      <c r="E119">
        <v>2</v>
      </c>
      <c r="F119" t="s">
        <v>103</v>
      </c>
      <c r="G119" t="s">
        <v>100</v>
      </c>
      <c r="H119" s="2">
        <v>280.8</v>
      </c>
      <c r="I119" s="4">
        <v>0.05</v>
      </c>
      <c r="J119" s="2">
        <v>561.6</v>
      </c>
      <c r="K119" s="2">
        <v>533.52</v>
      </c>
      <c r="L119" t="str">
        <f>VLOOKUP(C119,Produtos!$A$1:$D$101,2,FALSE)</f>
        <v xml:space="preserve">Estabilizador </v>
      </c>
      <c r="M119" t="str">
        <f>VLOOKUP(C119,Produtos!$A$1:$D$101,3,FALSE)</f>
        <v>Informática</v>
      </c>
      <c r="N119" t="str">
        <f>VLOOKUP(B119,Clientes!$A$1:$E$101,3,FALSE)</f>
        <v>Mauá</v>
      </c>
    </row>
    <row r="120" spans="1:14" x14ac:dyDescent="0.3">
      <c r="A120">
        <v>1119</v>
      </c>
      <c r="B120">
        <v>82</v>
      </c>
      <c r="C120">
        <v>108</v>
      </c>
      <c r="D120" s="3">
        <v>46200</v>
      </c>
      <c r="E120">
        <v>2</v>
      </c>
      <c r="F120" t="s">
        <v>103</v>
      </c>
      <c r="G120" t="s">
        <v>100</v>
      </c>
      <c r="H120" s="2">
        <v>2200</v>
      </c>
      <c r="I120" s="4">
        <v>0</v>
      </c>
      <c r="J120" s="2">
        <v>4400</v>
      </c>
      <c r="K120" s="2">
        <v>4400</v>
      </c>
      <c r="L120" t="str">
        <f>VLOOKUP(C120,Produtos!$A$1:$D$101,2,FALSE)</f>
        <v>Smartphone</v>
      </c>
      <c r="M120" t="str">
        <f>VLOOKUP(C120,Produtos!$A$1:$D$101,3,FALSE)</f>
        <v>Eletrônicos</v>
      </c>
      <c r="N120" t="str">
        <f>VLOOKUP(B120,Clientes!$A$1:$E$101,3,FALSE)</f>
        <v>Mogi das Cruzes</v>
      </c>
    </row>
    <row r="121" spans="1:14" x14ac:dyDescent="0.3">
      <c r="A121">
        <v>1120</v>
      </c>
      <c r="B121">
        <v>66</v>
      </c>
      <c r="C121">
        <v>135</v>
      </c>
      <c r="D121" s="3">
        <v>46201</v>
      </c>
      <c r="E121">
        <v>2</v>
      </c>
      <c r="F121" t="s">
        <v>101</v>
      </c>
      <c r="G121" t="s">
        <v>100</v>
      </c>
      <c r="H121" s="2">
        <v>884</v>
      </c>
      <c r="I121" s="4">
        <v>0.05</v>
      </c>
      <c r="J121" s="2">
        <v>1768</v>
      </c>
      <c r="K121" s="2">
        <v>1679.6</v>
      </c>
      <c r="L121" t="str">
        <f>VLOOKUP(C121,Produtos!$A$1:$D$101,2,FALSE)</f>
        <v xml:space="preserve">Cadeira Escritório </v>
      </c>
      <c r="M121" t="str">
        <f>VLOOKUP(C121,Produtos!$A$1:$D$101,3,FALSE)</f>
        <v>Móveis</v>
      </c>
      <c r="N121" t="str">
        <f>VLOOKUP(B121,Clientes!$A$1:$E$101,3,FALSE)</f>
        <v>Osasco</v>
      </c>
    </row>
    <row r="122" spans="1:14" x14ac:dyDescent="0.3">
      <c r="A122">
        <v>1121</v>
      </c>
      <c r="B122">
        <v>54</v>
      </c>
      <c r="C122">
        <v>135</v>
      </c>
      <c r="D122" s="3">
        <v>46203</v>
      </c>
      <c r="E122">
        <v>1</v>
      </c>
      <c r="F122" t="s">
        <v>103</v>
      </c>
      <c r="G122" t="s">
        <v>100</v>
      </c>
      <c r="H122" s="2">
        <v>884</v>
      </c>
      <c r="I122" s="4">
        <v>0</v>
      </c>
      <c r="J122" s="2">
        <v>884</v>
      </c>
      <c r="K122" s="2">
        <v>884</v>
      </c>
      <c r="L122" t="str">
        <f>VLOOKUP(C122,Produtos!$A$1:$D$101,2,FALSE)</f>
        <v xml:space="preserve">Cadeira Escritório </v>
      </c>
      <c r="M122" t="str">
        <f>VLOOKUP(C122,Produtos!$A$1:$D$101,3,FALSE)</f>
        <v>Móveis</v>
      </c>
      <c r="N122" t="str">
        <f>VLOOKUP(B122,Clientes!$A$1:$E$101,3,FALSE)</f>
        <v>Campinas</v>
      </c>
    </row>
    <row r="123" spans="1:14" x14ac:dyDescent="0.3">
      <c r="A123">
        <v>1122</v>
      </c>
      <c r="B123">
        <v>35</v>
      </c>
      <c r="C123">
        <v>133</v>
      </c>
      <c r="D123" s="3">
        <v>46204</v>
      </c>
      <c r="E123">
        <v>1</v>
      </c>
      <c r="F123" t="s">
        <v>103</v>
      </c>
      <c r="G123" t="s">
        <v>102</v>
      </c>
      <c r="H123" s="2">
        <v>187.2</v>
      </c>
      <c r="I123" s="4">
        <v>0</v>
      </c>
      <c r="J123" s="2">
        <v>187.2</v>
      </c>
      <c r="K123" s="2">
        <v>187.2</v>
      </c>
      <c r="L123" t="str">
        <f>VLOOKUP(C123,Produtos!$A$1:$D$101,2,FALSE)</f>
        <v xml:space="preserve">Teclado </v>
      </c>
      <c r="M123" t="str">
        <f>VLOOKUP(C123,Produtos!$A$1:$D$101,3,FALSE)</f>
        <v>Informática</v>
      </c>
      <c r="N123" t="str">
        <f>VLOOKUP(B123,Clientes!$A$1:$E$101,3,FALSE)</f>
        <v>Guarulhos</v>
      </c>
    </row>
    <row r="124" spans="1:14" x14ac:dyDescent="0.3">
      <c r="A124">
        <v>1123</v>
      </c>
      <c r="B124">
        <v>80</v>
      </c>
      <c r="C124">
        <v>105</v>
      </c>
      <c r="D124" s="3">
        <v>46206</v>
      </c>
      <c r="E124">
        <v>1</v>
      </c>
      <c r="F124" t="s">
        <v>99</v>
      </c>
      <c r="G124" t="s">
        <v>102</v>
      </c>
      <c r="H124" s="2">
        <v>850</v>
      </c>
      <c r="I124" s="4">
        <v>0.05</v>
      </c>
      <c r="J124" s="2">
        <v>850</v>
      </c>
      <c r="K124" s="2">
        <v>807.5</v>
      </c>
      <c r="L124" t="str">
        <f>VLOOKUP(C124,Produtos!$A$1:$D$101,2,FALSE)</f>
        <v>Cadeira Escritório</v>
      </c>
      <c r="M124" t="str">
        <f>VLOOKUP(C124,Produtos!$A$1:$D$101,3,FALSE)</f>
        <v>Móveis</v>
      </c>
      <c r="N124" t="str">
        <f>VLOOKUP(B124,Clientes!$A$1:$E$101,3,FALSE)</f>
        <v>Guarulhos</v>
      </c>
    </row>
    <row r="125" spans="1:14" x14ac:dyDescent="0.3">
      <c r="A125">
        <v>1124</v>
      </c>
      <c r="B125">
        <v>61</v>
      </c>
      <c r="C125">
        <v>141</v>
      </c>
      <c r="D125" s="3">
        <v>46207</v>
      </c>
      <c r="E125">
        <v>3</v>
      </c>
      <c r="F125" t="s">
        <v>103</v>
      </c>
      <c r="G125" t="s">
        <v>102</v>
      </c>
      <c r="H125" s="2">
        <v>332.8</v>
      </c>
      <c r="I125" s="4">
        <v>0</v>
      </c>
      <c r="J125" s="2">
        <v>998.4</v>
      </c>
      <c r="K125" s="2">
        <v>998.4</v>
      </c>
      <c r="L125" t="str">
        <f>VLOOKUP(C125,Produtos!$A$1:$D$101,2,FALSE)</f>
        <v xml:space="preserve">Webcam </v>
      </c>
      <c r="M125" t="str">
        <f>VLOOKUP(C125,Produtos!$A$1:$D$101,3,FALSE)</f>
        <v>Informática</v>
      </c>
      <c r="N125" t="str">
        <f>VLOOKUP(B125,Clientes!$A$1:$E$101,3,FALSE)</f>
        <v>São Paulo</v>
      </c>
    </row>
    <row r="126" spans="1:14" x14ac:dyDescent="0.3">
      <c r="A126">
        <v>1125</v>
      </c>
      <c r="B126">
        <v>41</v>
      </c>
      <c r="C126">
        <v>128</v>
      </c>
      <c r="D126" s="3">
        <v>46209</v>
      </c>
      <c r="E126">
        <v>2</v>
      </c>
      <c r="F126" t="s">
        <v>103</v>
      </c>
      <c r="G126" t="s">
        <v>100</v>
      </c>
      <c r="H126" s="2">
        <v>110</v>
      </c>
      <c r="I126" s="4">
        <v>0.05</v>
      </c>
      <c r="J126" s="2">
        <v>220</v>
      </c>
      <c r="K126" s="2">
        <v>209</v>
      </c>
      <c r="L126" t="str">
        <f>VLOOKUP(C126,Produtos!$A$1:$D$101,2,FALSE)</f>
        <v>Carregador</v>
      </c>
      <c r="M126" t="str">
        <f>VLOOKUP(C126,Produtos!$A$1:$D$101,3,FALSE)</f>
        <v>Eletrônicos</v>
      </c>
      <c r="N126" t="str">
        <f>VLOOKUP(B126,Clientes!$A$1:$E$101,3,FALSE)</f>
        <v>Jundiaí</v>
      </c>
    </row>
    <row r="127" spans="1:14" x14ac:dyDescent="0.3">
      <c r="A127">
        <v>1126</v>
      </c>
      <c r="B127">
        <v>100</v>
      </c>
      <c r="C127">
        <v>107</v>
      </c>
      <c r="D127" s="3">
        <v>46210</v>
      </c>
      <c r="E127">
        <v>1</v>
      </c>
      <c r="F127" t="s">
        <v>103</v>
      </c>
      <c r="G127" t="s">
        <v>100</v>
      </c>
      <c r="H127" s="2">
        <v>250</v>
      </c>
      <c r="I127" s="4">
        <v>0</v>
      </c>
      <c r="J127" s="2">
        <v>250</v>
      </c>
      <c r="K127" s="2">
        <v>250</v>
      </c>
      <c r="L127" t="str">
        <f>VLOOKUP(C127,Produtos!$A$1:$D$101,2,FALSE)</f>
        <v>Fone de Ouvido</v>
      </c>
      <c r="M127" t="str">
        <f>VLOOKUP(C127,Produtos!$A$1:$D$101,3,FALSE)</f>
        <v>Eletrônicos</v>
      </c>
      <c r="N127" t="str">
        <f>VLOOKUP(B127,Clientes!$A$1:$E$101,3,FALSE)</f>
        <v>Sorocaba</v>
      </c>
    </row>
    <row r="128" spans="1:14" x14ac:dyDescent="0.3">
      <c r="A128">
        <v>1127</v>
      </c>
      <c r="B128">
        <v>33</v>
      </c>
      <c r="C128">
        <v>173</v>
      </c>
      <c r="D128" s="3">
        <v>46212</v>
      </c>
      <c r="E128">
        <v>1</v>
      </c>
      <c r="F128" t="s">
        <v>103</v>
      </c>
      <c r="G128" t="s">
        <v>102</v>
      </c>
      <c r="H128" s="2">
        <v>1944</v>
      </c>
      <c r="I128" s="4">
        <v>0</v>
      </c>
      <c r="J128" s="2">
        <v>1944</v>
      </c>
      <c r="K128" s="2">
        <v>1944</v>
      </c>
      <c r="L128" t="str">
        <f>VLOOKUP(C128,Produtos!$A$1:$D$101,2,FALSE)</f>
        <v xml:space="preserve">Tablet </v>
      </c>
      <c r="M128" t="str">
        <f>VLOOKUP(C128,Produtos!$A$1:$D$101,3,FALSE)</f>
        <v>Eletrônicos</v>
      </c>
      <c r="N128" t="str">
        <f>VLOOKUP(B128,Clientes!$A$1:$E$101,3,FALSE)</f>
        <v>Mauá</v>
      </c>
    </row>
    <row r="129" spans="1:14" x14ac:dyDescent="0.3">
      <c r="A129">
        <v>1128</v>
      </c>
      <c r="B129">
        <v>68</v>
      </c>
      <c r="C129">
        <v>172</v>
      </c>
      <c r="D129" s="3">
        <v>46213</v>
      </c>
      <c r="E129">
        <v>3</v>
      </c>
      <c r="F129" t="s">
        <v>103</v>
      </c>
      <c r="G129" t="s">
        <v>102</v>
      </c>
      <c r="H129" s="2">
        <v>453.6</v>
      </c>
      <c r="I129" s="4">
        <v>0.1</v>
      </c>
      <c r="J129" s="2">
        <v>1360.8</v>
      </c>
      <c r="K129" s="2">
        <v>1224.72</v>
      </c>
      <c r="L129" t="str">
        <f>VLOOKUP(C129,Produtos!$A$1:$D$101,2,FALSE)</f>
        <v xml:space="preserve">Headset </v>
      </c>
      <c r="M129" t="str">
        <f>VLOOKUP(C129,Produtos!$A$1:$D$101,3,FALSE)</f>
        <v>Eletrônicos</v>
      </c>
      <c r="N129" t="str">
        <f>VLOOKUP(B129,Clientes!$A$1:$E$101,3,FALSE)</f>
        <v>Santos</v>
      </c>
    </row>
    <row r="130" spans="1:14" x14ac:dyDescent="0.3">
      <c r="A130">
        <v>1129</v>
      </c>
      <c r="B130">
        <v>33</v>
      </c>
      <c r="C130">
        <v>112</v>
      </c>
      <c r="D130" s="3">
        <v>46215</v>
      </c>
      <c r="E130">
        <v>1</v>
      </c>
      <c r="F130" t="s">
        <v>103</v>
      </c>
      <c r="G130" t="s">
        <v>104</v>
      </c>
      <c r="H130" s="2">
        <v>420</v>
      </c>
      <c r="I130" s="4">
        <v>0.05</v>
      </c>
      <c r="J130" s="2">
        <v>420</v>
      </c>
      <c r="K130" s="2">
        <v>399</v>
      </c>
      <c r="L130" t="str">
        <f>VLOOKUP(C130,Produtos!$A$1:$D$101,2,FALSE)</f>
        <v>Headset</v>
      </c>
      <c r="M130" t="str">
        <f>VLOOKUP(C130,Produtos!$A$1:$D$101,3,FALSE)</f>
        <v>Eletrônicos</v>
      </c>
      <c r="N130" t="str">
        <f>VLOOKUP(B130,Clientes!$A$1:$E$101,3,FALSE)</f>
        <v>Mauá</v>
      </c>
    </row>
    <row r="131" spans="1:14" x14ac:dyDescent="0.3">
      <c r="A131">
        <v>1130</v>
      </c>
      <c r="B131">
        <v>14</v>
      </c>
      <c r="C131">
        <v>134</v>
      </c>
      <c r="D131" s="3">
        <v>46216</v>
      </c>
      <c r="E131">
        <v>2</v>
      </c>
      <c r="F131" t="s">
        <v>99</v>
      </c>
      <c r="G131" t="s">
        <v>100</v>
      </c>
      <c r="H131" s="2">
        <v>93.6</v>
      </c>
      <c r="I131" s="4">
        <v>0.05</v>
      </c>
      <c r="J131" s="2">
        <v>187.2</v>
      </c>
      <c r="K131" s="2">
        <v>177.84</v>
      </c>
      <c r="L131" t="str">
        <f>VLOOKUP(C131,Produtos!$A$1:$D$101,2,FALSE)</f>
        <v xml:space="preserve">Mouse </v>
      </c>
      <c r="M131" t="str">
        <f>VLOOKUP(C131,Produtos!$A$1:$D$101,3,FALSE)</f>
        <v>Informática</v>
      </c>
      <c r="N131" t="str">
        <f>VLOOKUP(B131,Clientes!$A$1:$E$101,3,FALSE)</f>
        <v>Piracicaba</v>
      </c>
    </row>
    <row r="132" spans="1:14" x14ac:dyDescent="0.3">
      <c r="A132">
        <v>1131</v>
      </c>
      <c r="B132">
        <v>21</v>
      </c>
      <c r="C132">
        <v>133</v>
      </c>
      <c r="D132" s="3">
        <v>46218</v>
      </c>
      <c r="E132">
        <v>2</v>
      </c>
      <c r="F132" t="s">
        <v>103</v>
      </c>
      <c r="G132" t="s">
        <v>100</v>
      </c>
      <c r="H132" s="2">
        <v>187.2</v>
      </c>
      <c r="I132" s="4">
        <v>0</v>
      </c>
      <c r="J132" s="2">
        <v>374.4</v>
      </c>
      <c r="K132" s="2">
        <v>374.4</v>
      </c>
      <c r="L132" t="str">
        <f>VLOOKUP(C132,Produtos!$A$1:$D$101,2,FALSE)</f>
        <v xml:space="preserve">Teclado </v>
      </c>
      <c r="M132" t="str">
        <f>VLOOKUP(C132,Produtos!$A$1:$D$101,3,FALSE)</f>
        <v>Informática</v>
      </c>
      <c r="N132" t="str">
        <f>VLOOKUP(B132,Clientes!$A$1:$E$101,3,FALSE)</f>
        <v>Osasco</v>
      </c>
    </row>
    <row r="133" spans="1:14" x14ac:dyDescent="0.3">
      <c r="A133">
        <v>1132</v>
      </c>
      <c r="B133">
        <v>48</v>
      </c>
      <c r="C133">
        <v>148</v>
      </c>
      <c r="D133" s="3">
        <v>46219</v>
      </c>
      <c r="E133">
        <v>2</v>
      </c>
      <c r="F133" t="s">
        <v>103</v>
      </c>
      <c r="G133" t="s">
        <v>102</v>
      </c>
      <c r="H133" s="2">
        <v>145.6</v>
      </c>
      <c r="I133" s="4">
        <v>0.05</v>
      </c>
      <c r="J133" s="2">
        <v>291.2</v>
      </c>
      <c r="K133" s="2">
        <v>276.64</v>
      </c>
      <c r="L133" t="str">
        <f>VLOOKUP(C133,Produtos!$A$1:$D$101,2,FALSE)</f>
        <v xml:space="preserve">Suporte Notebook </v>
      </c>
      <c r="M133" t="str">
        <f>VLOOKUP(C133,Produtos!$A$1:$D$101,3,FALSE)</f>
        <v>Acessórios</v>
      </c>
      <c r="N133" t="str">
        <f>VLOOKUP(B133,Clientes!$A$1:$E$101,3,FALSE)</f>
        <v>Mauá</v>
      </c>
    </row>
    <row r="134" spans="1:14" x14ac:dyDescent="0.3">
      <c r="A134">
        <v>1133</v>
      </c>
      <c r="B134">
        <v>20</v>
      </c>
      <c r="C134">
        <v>123</v>
      </c>
      <c r="D134" s="3">
        <v>46221</v>
      </c>
      <c r="E134">
        <v>1</v>
      </c>
      <c r="F134" t="s">
        <v>101</v>
      </c>
      <c r="G134" t="s">
        <v>100</v>
      </c>
      <c r="H134" s="2">
        <v>1450</v>
      </c>
      <c r="I134" s="4">
        <v>0</v>
      </c>
      <c r="J134" s="2">
        <v>1450</v>
      </c>
      <c r="K134" s="2">
        <v>1450</v>
      </c>
      <c r="L134" t="str">
        <f>VLOOKUP(C134,Produtos!$A$1:$D$101,2,FALSE)</f>
        <v>Cadeira Gamer</v>
      </c>
      <c r="M134" t="str">
        <f>VLOOKUP(C134,Produtos!$A$1:$D$101,3,FALSE)</f>
        <v>Móveis</v>
      </c>
      <c r="N134" t="str">
        <f>VLOOKUP(B134,Clientes!$A$1:$E$101,3,FALSE)</f>
        <v>Guarulhos</v>
      </c>
    </row>
    <row r="135" spans="1:14" x14ac:dyDescent="0.3">
      <c r="A135">
        <v>1134</v>
      </c>
      <c r="B135">
        <v>8</v>
      </c>
      <c r="C135">
        <v>162</v>
      </c>
      <c r="D135" s="3">
        <v>46222</v>
      </c>
      <c r="E135">
        <v>3</v>
      </c>
      <c r="F135" t="s">
        <v>103</v>
      </c>
      <c r="G135" t="s">
        <v>104</v>
      </c>
      <c r="H135" s="2">
        <v>1296</v>
      </c>
      <c r="I135" s="4">
        <v>0</v>
      </c>
      <c r="J135" s="2">
        <v>3888</v>
      </c>
      <c r="K135" s="2">
        <v>3888</v>
      </c>
      <c r="L135" t="str">
        <f>VLOOKUP(C135,Produtos!$A$1:$D$101,2,FALSE)</f>
        <v xml:space="preserve">Monitor </v>
      </c>
      <c r="M135" t="str">
        <f>VLOOKUP(C135,Produtos!$A$1:$D$101,3,FALSE)</f>
        <v>Informática</v>
      </c>
      <c r="N135" t="str">
        <f>VLOOKUP(B135,Clientes!$A$1:$E$101,3,FALSE)</f>
        <v>Santos</v>
      </c>
    </row>
    <row r="136" spans="1:14" x14ac:dyDescent="0.3">
      <c r="A136">
        <v>1135</v>
      </c>
      <c r="B136">
        <v>7</v>
      </c>
      <c r="C136">
        <v>188</v>
      </c>
      <c r="D136" s="3">
        <v>46224</v>
      </c>
      <c r="E136">
        <v>3</v>
      </c>
      <c r="F136" t="s">
        <v>99</v>
      </c>
      <c r="G136" t="s">
        <v>102</v>
      </c>
      <c r="H136" s="2">
        <v>118.8</v>
      </c>
      <c r="I136" s="4">
        <v>0.1</v>
      </c>
      <c r="J136" s="2">
        <v>356.4</v>
      </c>
      <c r="K136" s="2">
        <v>320.76</v>
      </c>
      <c r="L136" t="str">
        <f>VLOOKUP(C136,Produtos!$A$1:$D$101,2,FALSE)</f>
        <v xml:space="preserve">Carregador </v>
      </c>
      <c r="M136" t="str">
        <f>VLOOKUP(C136,Produtos!$A$1:$D$101,3,FALSE)</f>
        <v>Eletrônicos</v>
      </c>
      <c r="N136" t="str">
        <f>VLOOKUP(B136,Clientes!$A$1:$E$101,3,FALSE)</f>
        <v>Mogi das Cruzes</v>
      </c>
    </row>
    <row r="137" spans="1:14" x14ac:dyDescent="0.3">
      <c r="A137">
        <v>1136</v>
      </c>
      <c r="B137">
        <v>67</v>
      </c>
      <c r="C137">
        <v>137</v>
      </c>
      <c r="D137" s="3">
        <v>46225</v>
      </c>
      <c r="E137">
        <v>2</v>
      </c>
      <c r="F137" t="s">
        <v>103</v>
      </c>
      <c r="G137" t="s">
        <v>100</v>
      </c>
      <c r="H137" s="2">
        <v>260</v>
      </c>
      <c r="I137" s="4">
        <v>0</v>
      </c>
      <c r="J137" s="2">
        <v>520</v>
      </c>
      <c r="K137" s="2">
        <v>520</v>
      </c>
      <c r="L137" t="str">
        <f>VLOOKUP(C137,Produtos!$A$1:$D$101,2,FALSE)</f>
        <v xml:space="preserve">Fone de Ouvido </v>
      </c>
      <c r="M137" t="str">
        <f>VLOOKUP(C137,Produtos!$A$1:$D$101,3,FALSE)</f>
        <v>Eletrônicos</v>
      </c>
      <c r="N137" t="str">
        <f>VLOOKUP(B137,Clientes!$A$1:$E$101,3,FALSE)</f>
        <v>Mogi das Cruzes</v>
      </c>
    </row>
    <row r="138" spans="1:14" x14ac:dyDescent="0.3">
      <c r="A138">
        <v>1137</v>
      </c>
      <c r="B138">
        <v>17</v>
      </c>
      <c r="C138">
        <v>199</v>
      </c>
      <c r="D138" s="3">
        <v>46227</v>
      </c>
      <c r="E138">
        <v>2</v>
      </c>
      <c r="F138" t="s">
        <v>103</v>
      </c>
      <c r="G138" t="s">
        <v>102</v>
      </c>
      <c r="H138" s="2">
        <v>1064</v>
      </c>
      <c r="I138" s="4">
        <v>0.15</v>
      </c>
      <c r="J138" s="2">
        <v>2128</v>
      </c>
      <c r="K138" s="2">
        <v>1808.8</v>
      </c>
      <c r="L138" t="str">
        <f>VLOOKUP(C138,Produtos!$A$1:$D$101,2,FALSE)</f>
        <v xml:space="preserve">Impressora </v>
      </c>
      <c r="M138" t="str">
        <f>VLOOKUP(C138,Produtos!$A$1:$D$101,3,FALSE)</f>
        <v>Informática</v>
      </c>
      <c r="N138" t="str">
        <f>VLOOKUP(B138,Clientes!$A$1:$E$101,3,FALSE)</f>
        <v>Santo André</v>
      </c>
    </row>
    <row r="139" spans="1:14" x14ac:dyDescent="0.3">
      <c r="A139">
        <v>1138</v>
      </c>
      <c r="B139">
        <v>33</v>
      </c>
      <c r="C139">
        <v>144</v>
      </c>
      <c r="D139" s="3">
        <v>46228</v>
      </c>
      <c r="E139">
        <v>3</v>
      </c>
      <c r="F139" t="s">
        <v>103</v>
      </c>
      <c r="G139" t="s">
        <v>102</v>
      </c>
      <c r="H139" s="2">
        <v>468</v>
      </c>
      <c r="I139" s="4">
        <v>0</v>
      </c>
      <c r="J139" s="2">
        <v>1404</v>
      </c>
      <c r="K139" s="2">
        <v>1404</v>
      </c>
      <c r="L139" t="str">
        <f>VLOOKUP(C139,Produtos!$A$1:$D$101,2,FALSE)</f>
        <v xml:space="preserve">HD Externo </v>
      </c>
      <c r="M139" t="str">
        <f>VLOOKUP(C139,Produtos!$A$1:$D$101,3,FALSE)</f>
        <v>Informática</v>
      </c>
      <c r="N139" t="str">
        <f>VLOOKUP(B139,Clientes!$A$1:$E$101,3,FALSE)</f>
        <v>Mauá</v>
      </c>
    </row>
    <row r="140" spans="1:14" x14ac:dyDescent="0.3">
      <c r="A140">
        <v>1139</v>
      </c>
      <c r="B140">
        <v>48</v>
      </c>
      <c r="C140">
        <v>186</v>
      </c>
      <c r="D140" s="3">
        <v>46230</v>
      </c>
      <c r="E140">
        <v>2</v>
      </c>
      <c r="F140" t="s">
        <v>103</v>
      </c>
      <c r="G140" t="s">
        <v>100</v>
      </c>
      <c r="H140" s="2">
        <v>129.6</v>
      </c>
      <c r="I140" s="4">
        <v>0</v>
      </c>
      <c r="J140" s="2">
        <v>259.2</v>
      </c>
      <c r="K140" s="2">
        <v>259.2</v>
      </c>
      <c r="L140" t="str">
        <f>VLOOKUP(C140,Produtos!$A$1:$D$101,2,FALSE)</f>
        <v xml:space="preserve">Hub USB </v>
      </c>
      <c r="M140" t="str">
        <f>VLOOKUP(C140,Produtos!$A$1:$D$101,3,FALSE)</f>
        <v>Informática</v>
      </c>
      <c r="N140" t="str">
        <f>VLOOKUP(B140,Clientes!$A$1:$E$101,3,FALSE)</f>
        <v>Mauá</v>
      </c>
    </row>
    <row r="141" spans="1:14" x14ac:dyDescent="0.3">
      <c r="A141">
        <v>1140</v>
      </c>
      <c r="B141">
        <v>76</v>
      </c>
      <c r="C141">
        <v>191</v>
      </c>
      <c r="D141" s="3">
        <v>46231</v>
      </c>
      <c r="E141">
        <v>1</v>
      </c>
      <c r="F141" t="s">
        <v>103</v>
      </c>
      <c r="G141" t="s">
        <v>104</v>
      </c>
      <c r="H141" s="2">
        <v>3920</v>
      </c>
      <c r="I141" s="4">
        <v>0</v>
      </c>
      <c r="J141" s="2">
        <v>3920</v>
      </c>
      <c r="K141" s="2">
        <v>3920</v>
      </c>
      <c r="L141" t="str">
        <f>VLOOKUP(C141,Produtos!$A$1:$D$101,2,FALSE)</f>
        <v xml:space="preserve">Notebook </v>
      </c>
      <c r="M141" t="str">
        <f>VLOOKUP(C141,Produtos!$A$1:$D$101,3,FALSE)</f>
        <v>Informática</v>
      </c>
      <c r="N141" t="str">
        <f>VLOOKUP(B141,Clientes!$A$1:$E$101,3,FALSE)</f>
        <v>São Paulo</v>
      </c>
    </row>
    <row r="142" spans="1:14" x14ac:dyDescent="0.3">
      <c r="A142">
        <v>1141</v>
      </c>
      <c r="B142">
        <v>59</v>
      </c>
      <c r="C142">
        <v>135</v>
      </c>
      <c r="D142" s="3">
        <v>46233</v>
      </c>
      <c r="E142">
        <v>2</v>
      </c>
      <c r="F142" t="s">
        <v>103</v>
      </c>
      <c r="G142" t="s">
        <v>100</v>
      </c>
      <c r="H142" s="2">
        <v>884</v>
      </c>
      <c r="I142" s="4">
        <v>0.1</v>
      </c>
      <c r="J142" s="2">
        <v>1768</v>
      </c>
      <c r="K142" s="2">
        <v>1591.2</v>
      </c>
      <c r="L142" t="str">
        <f>VLOOKUP(C142,Produtos!$A$1:$D$101,2,FALSE)</f>
        <v xml:space="preserve">Cadeira Escritório </v>
      </c>
      <c r="M142" t="str">
        <f>VLOOKUP(C142,Produtos!$A$1:$D$101,3,FALSE)</f>
        <v>Móveis</v>
      </c>
      <c r="N142" t="str">
        <f>VLOOKUP(B142,Clientes!$A$1:$E$101,3,FALSE)</f>
        <v>Piracicaba</v>
      </c>
    </row>
    <row r="143" spans="1:14" x14ac:dyDescent="0.3">
      <c r="A143">
        <v>1142</v>
      </c>
      <c r="B143">
        <v>86</v>
      </c>
      <c r="C143">
        <v>165</v>
      </c>
      <c r="D143" s="3">
        <v>46234</v>
      </c>
      <c r="E143">
        <v>2</v>
      </c>
      <c r="F143" t="s">
        <v>103</v>
      </c>
      <c r="G143" t="s">
        <v>102</v>
      </c>
      <c r="H143" s="2">
        <v>918</v>
      </c>
      <c r="I143" s="4">
        <v>0.05</v>
      </c>
      <c r="J143" s="2">
        <v>1836</v>
      </c>
      <c r="K143" s="2">
        <v>1744.2</v>
      </c>
      <c r="L143" t="str">
        <f>VLOOKUP(C143,Produtos!$A$1:$D$101,2,FALSE)</f>
        <v xml:space="preserve">Cadeira Escritório </v>
      </c>
      <c r="M143" t="str">
        <f>VLOOKUP(C143,Produtos!$A$1:$D$101,3,FALSE)</f>
        <v>Móveis</v>
      </c>
      <c r="N143" t="str">
        <f>VLOOKUP(B143,Clientes!$A$1:$E$101,3,FALSE)</f>
        <v>Jundiaí</v>
      </c>
    </row>
    <row r="144" spans="1:14" x14ac:dyDescent="0.3">
      <c r="A144">
        <v>1143</v>
      </c>
      <c r="B144">
        <v>22</v>
      </c>
      <c r="C144">
        <v>199</v>
      </c>
      <c r="D144" s="3">
        <v>46236</v>
      </c>
      <c r="E144">
        <v>1</v>
      </c>
      <c r="F144" t="s">
        <v>103</v>
      </c>
      <c r="G144" t="s">
        <v>100</v>
      </c>
      <c r="H144" s="2">
        <v>1064</v>
      </c>
      <c r="I144" s="4">
        <v>0.1</v>
      </c>
      <c r="J144" s="2">
        <v>1064</v>
      </c>
      <c r="K144" s="2">
        <v>957.6</v>
      </c>
      <c r="L144" t="str">
        <f>VLOOKUP(C144,Produtos!$A$1:$D$101,2,FALSE)</f>
        <v xml:space="preserve">Impressora </v>
      </c>
      <c r="M144" t="str">
        <f>VLOOKUP(C144,Produtos!$A$1:$D$101,3,FALSE)</f>
        <v>Informática</v>
      </c>
      <c r="N144" t="str">
        <f>VLOOKUP(B144,Clientes!$A$1:$E$101,3,FALSE)</f>
        <v>Mogi das Cruzes</v>
      </c>
    </row>
    <row r="145" spans="1:14" x14ac:dyDescent="0.3">
      <c r="A145">
        <v>1144</v>
      </c>
      <c r="B145">
        <v>30</v>
      </c>
      <c r="C145">
        <v>147</v>
      </c>
      <c r="D145" s="3">
        <v>46237</v>
      </c>
      <c r="E145">
        <v>2</v>
      </c>
      <c r="F145" t="s">
        <v>103</v>
      </c>
      <c r="G145" t="s">
        <v>102</v>
      </c>
      <c r="H145" s="2">
        <v>83.2</v>
      </c>
      <c r="I145" s="4">
        <v>0.05</v>
      </c>
      <c r="J145" s="2">
        <v>166.4</v>
      </c>
      <c r="K145" s="2">
        <v>158.08000000000001</v>
      </c>
      <c r="L145" t="str">
        <f>VLOOKUP(C145,Produtos!$A$1:$D$101,2,FALSE)</f>
        <v xml:space="preserve">Mousepad </v>
      </c>
      <c r="M145" t="str">
        <f>VLOOKUP(C145,Produtos!$A$1:$D$101,3,FALSE)</f>
        <v>Acessórios</v>
      </c>
      <c r="N145" t="str">
        <f>VLOOKUP(B145,Clientes!$A$1:$E$101,3,FALSE)</f>
        <v>São José dos Campos</v>
      </c>
    </row>
    <row r="146" spans="1:14" x14ac:dyDescent="0.3">
      <c r="A146">
        <v>1145</v>
      </c>
      <c r="B146">
        <v>38</v>
      </c>
      <c r="C146">
        <v>178</v>
      </c>
      <c r="D146" s="3">
        <v>46239</v>
      </c>
      <c r="E146">
        <v>3</v>
      </c>
      <c r="F146" t="s">
        <v>103</v>
      </c>
      <c r="G146" t="s">
        <v>100</v>
      </c>
      <c r="H146" s="2">
        <v>151.19999999999999</v>
      </c>
      <c r="I146" s="4">
        <v>0.05</v>
      </c>
      <c r="J146" s="2">
        <v>453.6</v>
      </c>
      <c r="K146" s="2">
        <v>430.92</v>
      </c>
      <c r="L146" t="str">
        <f>VLOOKUP(C146,Produtos!$A$1:$D$101,2,FALSE)</f>
        <v xml:space="preserve">Suporte Notebook </v>
      </c>
      <c r="M146" t="str">
        <f>VLOOKUP(C146,Produtos!$A$1:$D$101,3,FALSE)</f>
        <v>Acessórios</v>
      </c>
      <c r="N146" t="str">
        <f>VLOOKUP(B146,Clientes!$A$1:$E$101,3,FALSE)</f>
        <v>Santos</v>
      </c>
    </row>
    <row r="147" spans="1:14" x14ac:dyDescent="0.3">
      <c r="A147">
        <v>1146</v>
      </c>
      <c r="B147">
        <v>51</v>
      </c>
      <c r="C147">
        <v>103</v>
      </c>
      <c r="D147" s="3">
        <v>46240</v>
      </c>
      <c r="E147">
        <v>3</v>
      </c>
      <c r="F147" t="s">
        <v>103</v>
      </c>
      <c r="G147" t="s">
        <v>100</v>
      </c>
      <c r="H147" s="2">
        <v>180</v>
      </c>
      <c r="I147" s="4">
        <v>0.1</v>
      </c>
      <c r="J147" s="2">
        <v>540</v>
      </c>
      <c r="K147" s="2">
        <v>486</v>
      </c>
      <c r="L147" t="str">
        <f>VLOOKUP(C147,Produtos!$A$1:$D$101,2,FALSE)</f>
        <v>Teclado</v>
      </c>
      <c r="M147" t="str">
        <f>VLOOKUP(C147,Produtos!$A$1:$D$101,3,FALSE)</f>
        <v>Informática</v>
      </c>
      <c r="N147" t="str">
        <f>VLOOKUP(B147,Clientes!$A$1:$E$101,3,FALSE)</f>
        <v>Osasco</v>
      </c>
    </row>
    <row r="148" spans="1:14" x14ac:dyDescent="0.3">
      <c r="A148">
        <v>1147</v>
      </c>
      <c r="B148">
        <v>54</v>
      </c>
      <c r="C148">
        <v>101</v>
      </c>
      <c r="D148" s="3">
        <v>46242</v>
      </c>
      <c r="E148">
        <v>1</v>
      </c>
      <c r="F148" t="s">
        <v>99</v>
      </c>
      <c r="G148" t="s">
        <v>104</v>
      </c>
      <c r="H148" s="2">
        <v>3500</v>
      </c>
      <c r="I148" s="4">
        <v>0</v>
      </c>
      <c r="J148" s="2">
        <v>3500</v>
      </c>
      <c r="K148" s="2">
        <v>3500</v>
      </c>
      <c r="L148" t="str">
        <f>VLOOKUP(C148,Produtos!$A$1:$D$101,2,FALSE)</f>
        <v>Notebook</v>
      </c>
      <c r="M148" t="str">
        <f>VLOOKUP(C148,Produtos!$A$1:$D$101,3,FALSE)</f>
        <v>Informática</v>
      </c>
      <c r="N148" t="str">
        <f>VLOOKUP(B148,Clientes!$A$1:$E$101,3,FALSE)</f>
        <v>Campinas</v>
      </c>
    </row>
    <row r="149" spans="1:14" x14ac:dyDescent="0.3">
      <c r="A149">
        <v>1148</v>
      </c>
      <c r="B149">
        <v>8</v>
      </c>
      <c r="C149">
        <v>105</v>
      </c>
      <c r="D149" s="3">
        <v>46243</v>
      </c>
      <c r="E149">
        <v>1</v>
      </c>
      <c r="F149" t="s">
        <v>99</v>
      </c>
      <c r="G149" t="s">
        <v>100</v>
      </c>
      <c r="H149" s="2">
        <v>850</v>
      </c>
      <c r="I149" s="4">
        <v>0</v>
      </c>
      <c r="J149" s="2">
        <v>850</v>
      </c>
      <c r="K149" s="2">
        <v>850</v>
      </c>
      <c r="L149" t="str">
        <f>VLOOKUP(C149,Produtos!$A$1:$D$101,2,FALSE)</f>
        <v>Cadeira Escritório</v>
      </c>
      <c r="M149" t="str">
        <f>VLOOKUP(C149,Produtos!$A$1:$D$101,3,FALSE)</f>
        <v>Móveis</v>
      </c>
      <c r="N149" t="str">
        <f>VLOOKUP(B149,Clientes!$A$1:$E$101,3,FALSE)</f>
        <v>Santos</v>
      </c>
    </row>
    <row r="150" spans="1:14" x14ac:dyDescent="0.3">
      <c r="A150">
        <v>1149</v>
      </c>
      <c r="B150">
        <v>27</v>
      </c>
      <c r="C150">
        <v>190</v>
      </c>
      <c r="D150" s="3">
        <v>46245</v>
      </c>
      <c r="E150">
        <v>4</v>
      </c>
      <c r="F150" t="s">
        <v>103</v>
      </c>
      <c r="G150" t="s">
        <v>100</v>
      </c>
      <c r="H150" s="2">
        <v>648</v>
      </c>
      <c r="I150" s="4">
        <v>0</v>
      </c>
      <c r="J150" s="2">
        <v>2592</v>
      </c>
      <c r="K150" s="2">
        <v>2592</v>
      </c>
      <c r="L150" t="str">
        <f>VLOOKUP(C150,Produtos!$A$1:$D$101,2,FALSE)</f>
        <v xml:space="preserve">Mesa Digitalizadora </v>
      </c>
      <c r="M150" t="str">
        <f>VLOOKUP(C150,Produtos!$A$1:$D$101,3,FALSE)</f>
        <v>Informática</v>
      </c>
      <c r="N150" t="str">
        <f>VLOOKUP(B150,Clientes!$A$1:$E$101,3,FALSE)</f>
        <v>Diadema</v>
      </c>
    </row>
    <row r="151" spans="1:14" x14ac:dyDescent="0.3">
      <c r="A151">
        <v>1150</v>
      </c>
      <c r="B151">
        <v>27</v>
      </c>
      <c r="C151">
        <v>114</v>
      </c>
      <c r="D151" s="3">
        <v>46246</v>
      </c>
      <c r="E151">
        <v>3</v>
      </c>
      <c r="F151" t="s">
        <v>99</v>
      </c>
      <c r="G151" t="s">
        <v>104</v>
      </c>
      <c r="H151" s="2">
        <v>450</v>
      </c>
      <c r="I151" s="4">
        <v>0.15</v>
      </c>
      <c r="J151" s="2">
        <v>1350</v>
      </c>
      <c r="K151" s="2">
        <v>1147.5</v>
      </c>
      <c r="L151" t="str">
        <f>VLOOKUP(C151,Produtos!$A$1:$D$101,2,FALSE)</f>
        <v>HD Externo</v>
      </c>
      <c r="M151" t="str">
        <f>VLOOKUP(C151,Produtos!$A$1:$D$101,3,FALSE)</f>
        <v>Informática</v>
      </c>
      <c r="N151" t="str">
        <f>VLOOKUP(B151,Clientes!$A$1:$E$101,3,FALSE)</f>
        <v>Diadema</v>
      </c>
    </row>
    <row r="152" spans="1:14" x14ac:dyDescent="0.3">
      <c r="A152">
        <v>1151</v>
      </c>
      <c r="B152">
        <v>98</v>
      </c>
      <c r="C152">
        <v>127</v>
      </c>
      <c r="D152" s="3">
        <v>46248</v>
      </c>
      <c r="E152">
        <v>1</v>
      </c>
      <c r="F152" t="s">
        <v>99</v>
      </c>
      <c r="G152" t="s">
        <v>104</v>
      </c>
      <c r="H152" s="2">
        <v>70</v>
      </c>
      <c r="I152" s="4">
        <v>0.1</v>
      </c>
      <c r="J152" s="2">
        <v>70</v>
      </c>
      <c r="K152" s="2">
        <v>63</v>
      </c>
      <c r="L152" t="str">
        <f>VLOOKUP(C152,Produtos!$A$1:$D$101,2,FALSE)</f>
        <v>Pen Drive</v>
      </c>
      <c r="M152" t="str">
        <f>VLOOKUP(C152,Produtos!$A$1:$D$101,3,FALSE)</f>
        <v>Informática</v>
      </c>
      <c r="N152" t="str">
        <f>VLOOKUP(B152,Clientes!$A$1:$E$101,3,FALSE)</f>
        <v>Santos</v>
      </c>
    </row>
    <row r="153" spans="1:14" x14ac:dyDescent="0.3">
      <c r="A153">
        <v>1152</v>
      </c>
      <c r="B153">
        <v>21</v>
      </c>
      <c r="C153">
        <v>109</v>
      </c>
      <c r="D153" s="3">
        <v>46249</v>
      </c>
      <c r="E153">
        <v>3</v>
      </c>
      <c r="F153" t="s">
        <v>103</v>
      </c>
      <c r="G153" t="s">
        <v>100</v>
      </c>
      <c r="H153" s="2">
        <v>950</v>
      </c>
      <c r="I153" s="4">
        <v>0</v>
      </c>
      <c r="J153" s="2">
        <v>2850</v>
      </c>
      <c r="K153" s="2">
        <v>2850</v>
      </c>
      <c r="L153" t="str">
        <f>VLOOKUP(C153,Produtos!$A$1:$D$101,2,FALSE)</f>
        <v>Impressora</v>
      </c>
      <c r="M153" t="str">
        <f>VLOOKUP(C153,Produtos!$A$1:$D$101,3,FALSE)</f>
        <v>Informática</v>
      </c>
      <c r="N153" t="str">
        <f>VLOOKUP(B153,Clientes!$A$1:$E$101,3,FALSE)</f>
        <v>Osasco</v>
      </c>
    </row>
    <row r="154" spans="1:14" x14ac:dyDescent="0.3">
      <c r="A154">
        <v>1153</v>
      </c>
      <c r="B154">
        <v>30</v>
      </c>
      <c r="C154">
        <v>179</v>
      </c>
      <c r="D154" s="3">
        <v>46251</v>
      </c>
      <c r="E154">
        <v>3</v>
      </c>
      <c r="F154" t="s">
        <v>101</v>
      </c>
      <c r="G154" t="s">
        <v>100</v>
      </c>
      <c r="H154" s="2">
        <v>324</v>
      </c>
      <c r="I154" s="4">
        <v>0.05</v>
      </c>
      <c r="J154" s="2">
        <v>972</v>
      </c>
      <c r="K154" s="2">
        <v>923.4</v>
      </c>
      <c r="L154" t="str">
        <f>VLOOKUP(C154,Produtos!$A$1:$D$101,2,FALSE)</f>
        <v xml:space="preserve">Caixa de Som </v>
      </c>
      <c r="M154" t="str">
        <f>VLOOKUP(C154,Produtos!$A$1:$D$101,3,FALSE)</f>
        <v>Eletrônicos</v>
      </c>
      <c r="N154" t="str">
        <f>VLOOKUP(B154,Clientes!$A$1:$E$101,3,FALSE)</f>
        <v>São José dos Campos</v>
      </c>
    </row>
    <row r="155" spans="1:14" x14ac:dyDescent="0.3">
      <c r="A155">
        <v>1154</v>
      </c>
      <c r="B155">
        <v>97</v>
      </c>
      <c r="C155">
        <v>115</v>
      </c>
      <c r="D155" s="3">
        <v>46252</v>
      </c>
      <c r="E155">
        <v>2</v>
      </c>
      <c r="F155" t="s">
        <v>101</v>
      </c>
      <c r="G155" t="s">
        <v>100</v>
      </c>
      <c r="H155" s="2">
        <v>500</v>
      </c>
      <c r="I155" s="4">
        <v>0.1</v>
      </c>
      <c r="J155" s="2">
        <v>1000</v>
      </c>
      <c r="K155" s="2">
        <v>900</v>
      </c>
      <c r="L155" t="str">
        <f>VLOOKUP(C155,Produtos!$A$1:$D$101,2,FALSE)</f>
        <v>SSD</v>
      </c>
      <c r="M155" t="str">
        <f>VLOOKUP(C155,Produtos!$A$1:$D$101,3,FALSE)</f>
        <v>Informática</v>
      </c>
      <c r="N155" t="str">
        <f>VLOOKUP(B155,Clientes!$A$1:$E$101,3,FALSE)</f>
        <v>Mogi das Cruzes</v>
      </c>
    </row>
    <row r="156" spans="1:14" x14ac:dyDescent="0.3">
      <c r="A156">
        <v>1155</v>
      </c>
      <c r="B156">
        <v>28</v>
      </c>
      <c r="C156">
        <v>190</v>
      </c>
      <c r="D156" s="3">
        <v>46254</v>
      </c>
      <c r="E156">
        <v>2</v>
      </c>
      <c r="F156" t="s">
        <v>103</v>
      </c>
      <c r="G156" t="s">
        <v>100</v>
      </c>
      <c r="H156" s="2">
        <v>648</v>
      </c>
      <c r="I156" s="4">
        <v>0</v>
      </c>
      <c r="J156" s="2">
        <v>1296</v>
      </c>
      <c r="K156" s="2">
        <v>1296</v>
      </c>
      <c r="L156" t="str">
        <f>VLOOKUP(C156,Produtos!$A$1:$D$101,2,FALSE)</f>
        <v xml:space="preserve">Mesa Digitalizadora </v>
      </c>
      <c r="M156" t="str">
        <f>VLOOKUP(C156,Produtos!$A$1:$D$101,3,FALSE)</f>
        <v>Informática</v>
      </c>
      <c r="N156" t="str">
        <f>VLOOKUP(B156,Clientes!$A$1:$E$101,3,FALSE)</f>
        <v>Bauru</v>
      </c>
    </row>
    <row r="157" spans="1:14" x14ac:dyDescent="0.3">
      <c r="A157">
        <v>1156</v>
      </c>
      <c r="B157">
        <v>64</v>
      </c>
      <c r="C157">
        <v>142</v>
      </c>
      <c r="D157" s="3">
        <v>46255</v>
      </c>
      <c r="E157">
        <v>1</v>
      </c>
      <c r="F157" t="s">
        <v>103</v>
      </c>
      <c r="G157" t="s">
        <v>100</v>
      </c>
      <c r="H157" s="2">
        <v>436.8</v>
      </c>
      <c r="I157" s="4">
        <v>0.05</v>
      </c>
      <c r="J157" s="2">
        <v>436.8</v>
      </c>
      <c r="K157" s="2">
        <v>414.96</v>
      </c>
      <c r="L157" t="str">
        <f>VLOOKUP(C157,Produtos!$A$1:$D$101,2,FALSE)</f>
        <v xml:space="preserve">Headset </v>
      </c>
      <c r="M157" t="str">
        <f>VLOOKUP(C157,Produtos!$A$1:$D$101,3,FALSE)</f>
        <v>Eletrônicos</v>
      </c>
      <c r="N157" t="str">
        <f>VLOOKUP(B157,Clientes!$A$1:$E$101,3,FALSE)</f>
        <v>São Bernardo do Campo</v>
      </c>
    </row>
    <row r="158" spans="1:14" x14ac:dyDescent="0.3">
      <c r="A158">
        <v>1157</v>
      </c>
      <c r="B158">
        <v>97</v>
      </c>
      <c r="C158">
        <v>177</v>
      </c>
      <c r="D158" s="3">
        <v>46257</v>
      </c>
      <c r="E158">
        <v>1</v>
      </c>
      <c r="F158" t="s">
        <v>101</v>
      </c>
      <c r="G158" t="s">
        <v>100</v>
      </c>
      <c r="H158" s="2">
        <v>86.4</v>
      </c>
      <c r="I158" s="4">
        <v>0.1</v>
      </c>
      <c r="J158" s="2">
        <v>86.4</v>
      </c>
      <c r="K158" s="2">
        <v>77.760000000000005</v>
      </c>
      <c r="L158" t="str">
        <f>VLOOKUP(C158,Produtos!$A$1:$D$101,2,FALSE)</f>
        <v xml:space="preserve">Mousepad </v>
      </c>
      <c r="M158" t="str">
        <f>VLOOKUP(C158,Produtos!$A$1:$D$101,3,FALSE)</f>
        <v>Acessórios</v>
      </c>
      <c r="N158" t="str">
        <f>VLOOKUP(B158,Clientes!$A$1:$E$101,3,FALSE)</f>
        <v>Mogi das Cruzes</v>
      </c>
    </row>
    <row r="159" spans="1:14" x14ac:dyDescent="0.3">
      <c r="A159">
        <v>1158</v>
      </c>
      <c r="B159">
        <v>69</v>
      </c>
      <c r="C159">
        <v>151</v>
      </c>
      <c r="D159" s="3">
        <v>46258</v>
      </c>
      <c r="E159">
        <v>1</v>
      </c>
      <c r="F159" t="s">
        <v>99</v>
      </c>
      <c r="G159" t="s">
        <v>102</v>
      </c>
      <c r="H159" s="2">
        <v>270.39999999999998</v>
      </c>
      <c r="I159" s="4">
        <v>0</v>
      </c>
      <c r="J159" s="2">
        <v>270.39999999999998</v>
      </c>
      <c r="K159" s="2">
        <v>270.39999999999998</v>
      </c>
      <c r="L159" t="str">
        <f>VLOOKUP(C159,Produtos!$A$1:$D$101,2,FALSE)</f>
        <v xml:space="preserve">Estabilizador </v>
      </c>
      <c r="M159" t="str">
        <f>VLOOKUP(C159,Produtos!$A$1:$D$101,3,FALSE)</f>
        <v>Informática</v>
      </c>
      <c r="N159" t="str">
        <f>VLOOKUP(B159,Clientes!$A$1:$E$101,3,FALSE)</f>
        <v>Campinas</v>
      </c>
    </row>
    <row r="160" spans="1:14" x14ac:dyDescent="0.3">
      <c r="A160">
        <v>1159</v>
      </c>
      <c r="B160">
        <v>61</v>
      </c>
      <c r="C160">
        <v>163</v>
      </c>
      <c r="D160" s="3">
        <v>46260</v>
      </c>
      <c r="E160">
        <v>3</v>
      </c>
      <c r="F160" t="s">
        <v>103</v>
      </c>
      <c r="G160" t="s">
        <v>102</v>
      </c>
      <c r="H160" s="2">
        <v>194.4</v>
      </c>
      <c r="I160" s="4">
        <v>0.05</v>
      </c>
      <c r="J160" s="2">
        <v>583.20000000000005</v>
      </c>
      <c r="K160" s="2">
        <v>554.04</v>
      </c>
      <c r="L160" t="str">
        <f>VLOOKUP(C160,Produtos!$A$1:$D$101,2,FALSE)</f>
        <v xml:space="preserve">Teclado </v>
      </c>
      <c r="M160" t="str">
        <f>VLOOKUP(C160,Produtos!$A$1:$D$101,3,FALSE)</f>
        <v>Informática</v>
      </c>
      <c r="N160" t="str">
        <f>VLOOKUP(B160,Clientes!$A$1:$E$101,3,FALSE)</f>
        <v>São Paulo</v>
      </c>
    </row>
    <row r="161" spans="1:14" x14ac:dyDescent="0.3">
      <c r="A161">
        <v>1160</v>
      </c>
      <c r="B161">
        <v>48</v>
      </c>
      <c r="C161">
        <v>196</v>
      </c>
      <c r="D161" s="3">
        <v>46261</v>
      </c>
      <c r="E161">
        <v>1</v>
      </c>
      <c r="F161" t="s">
        <v>103</v>
      </c>
      <c r="G161" t="s">
        <v>102</v>
      </c>
      <c r="H161" s="2">
        <v>1232</v>
      </c>
      <c r="I161" s="4">
        <v>0</v>
      </c>
      <c r="J161" s="2">
        <v>1232</v>
      </c>
      <c r="K161" s="2">
        <v>1232</v>
      </c>
      <c r="L161" t="str">
        <f>VLOOKUP(C161,Produtos!$A$1:$D$101,2,FALSE)</f>
        <v xml:space="preserve">Mesa Escritório </v>
      </c>
      <c r="M161" t="str">
        <f>VLOOKUP(C161,Produtos!$A$1:$D$101,3,FALSE)</f>
        <v>Móveis</v>
      </c>
      <c r="N161" t="str">
        <f>VLOOKUP(B161,Clientes!$A$1:$E$101,3,FALSE)</f>
        <v>Mauá</v>
      </c>
    </row>
    <row r="162" spans="1:14" x14ac:dyDescent="0.3">
      <c r="A162">
        <v>1161</v>
      </c>
      <c r="B162">
        <v>19</v>
      </c>
      <c r="C162">
        <v>152</v>
      </c>
      <c r="D162" s="3">
        <v>46263</v>
      </c>
      <c r="E162">
        <v>1</v>
      </c>
      <c r="F162" t="s">
        <v>103</v>
      </c>
      <c r="G162" t="s">
        <v>100</v>
      </c>
      <c r="H162" s="2">
        <v>728</v>
      </c>
      <c r="I162" s="4">
        <v>0.1</v>
      </c>
      <c r="J162" s="2">
        <v>728</v>
      </c>
      <c r="K162" s="2">
        <v>655.20000000000005</v>
      </c>
      <c r="L162" t="str">
        <f>VLOOKUP(C162,Produtos!$A$1:$D$101,2,FALSE)</f>
        <v xml:space="preserve">Nobreak </v>
      </c>
      <c r="M162" t="str">
        <f>VLOOKUP(C162,Produtos!$A$1:$D$101,3,FALSE)</f>
        <v>Informática</v>
      </c>
      <c r="N162" t="str">
        <f>VLOOKUP(B162,Clientes!$A$1:$E$101,3,FALSE)</f>
        <v>São Bernardo do Campo</v>
      </c>
    </row>
    <row r="163" spans="1:14" x14ac:dyDescent="0.3">
      <c r="A163">
        <v>1162</v>
      </c>
      <c r="B163">
        <v>4</v>
      </c>
      <c r="C163">
        <v>196</v>
      </c>
      <c r="D163" s="3">
        <v>46264</v>
      </c>
      <c r="E163">
        <v>1</v>
      </c>
      <c r="F163" t="s">
        <v>103</v>
      </c>
      <c r="G163" t="s">
        <v>100</v>
      </c>
      <c r="H163" s="2">
        <v>1232</v>
      </c>
      <c r="I163" s="4">
        <v>0.15</v>
      </c>
      <c r="J163" s="2">
        <v>1232</v>
      </c>
      <c r="K163" s="2">
        <v>1047.2</v>
      </c>
      <c r="L163" t="str">
        <f>VLOOKUP(C163,Produtos!$A$1:$D$101,2,FALSE)</f>
        <v xml:space="preserve">Mesa Escritório </v>
      </c>
      <c r="M163" t="str">
        <f>VLOOKUP(C163,Produtos!$A$1:$D$101,3,FALSE)</f>
        <v>Móveis</v>
      </c>
      <c r="N163" t="str">
        <f>VLOOKUP(B163,Clientes!$A$1:$E$101,3,FALSE)</f>
        <v>São Bernardo do Campo</v>
      </c>
    </row>
    <row r="164" spans="1:14" x14ac:dyDescent="0.3">
      <c r="A164">
        <v>1163</v>
      </c>
      <c r="B164">
        <v>35</v>
      </c>
      <c r="C164">
        <v>104</v>
      </c>
      <c r="D164" s="3">
        <v>46266</v>
      </c>
      <c r="E164">
        <v>2</v>
      </c>
      <c r="F164" t="s">
        <v>99</v>
      </c>
      <c r="G164" t="s">
        <v>100</v>
      </c>
      <c r="H164" s="2">
        <v>90</v>
      </c>
      <c r="I164" s="4">
        <v>0.1</v>
      </c>
      <c r="J164" s="2">
        <v>180</v>
      </c>
      <c r="K164" s="2">
        <v>162</v>
      </c>
      <c r="L164" t="str">
        <f>VLOOKUP(C164,Produtos!$A$1:$D$101,2,FALSE)</f>
        <v>Mouse</v>
      </c>
      <c r="M164" t="str">
        <f>VLOOKUP(C164,Produtos!$A$1:$D$101,3,FALSE)</f>
        <v>Informática</v>
      </c>
      <c r="N164" t="str">
        <f>VLOOKUP(B164,Clientes!$A$1:$E$101,3,FALSE)</f>
        <v>Guarulhos</v>
      </c>
    </row>
    <row r="165" spans="1:14" x14ac:dyDescent="0.3">
      <c r="A165">
        <v>1164</v>
      </c>
      <c r="B165">
        <v>64</v>
      </c>
      <c r="C165">
        <v>194</v>
      </c>
      <c r="D165" s="3">
        <v>46267</v>
      </c>
      <c r="E165">
        <v>3</v>
      </c>
      <c r="F165" t="s">
        <v>103</v>
      </c>
      <c r="G165" t="s">
        <v>100</v>
      </c>
      <c r="H165" s="2">
        <v>100.8</v>
      </c>
      <c r="I165" s="4">
        <v>0</v>
      </c>
      <c r="J165" s="2">
        <v>302.39999999999998</v>
      </c>
      <c r="K165" s="2">
        <v>302.39999999999998</v>
      </c>
      <c r="L165" t="str">
        <f>VLOOKUP(C165,Produtos!$A$1:$D$101,2,FALSE)</f>
        <v xml:space="preserve">Mouse </v>
      </c>
      <c r="M165" t="str">
        <f>VLOOKUP(C165,Produtos!$A$1:$D$101,3,FALSE)</f>
        <v>Informática</v>
      </c>
      <c r="N165" t="str">
        <f>VLOOKUP(B165,Clientes!$A$1:$E$101,3,FALSE)</f>
        <v>São Bernardo do Campo</v>
      </c>
    </row>
    <row r="166" spans="1:14" x14ac:dyDescent="0.3">
      <c r="A166">
        <v>1165</v>
      </c>
      <c r="B166">
        <v>49</v>
      </c>
      <c r="C166">
        <v>123</v>
      </c>
      <c r="D166" s="3">
        <v>46269</v>
      </c>
      <c r="E166">
        <v>1</v>
      </c>
      <c r="F166" t="s">
        <v>103</v>
      </c>
      <c r="G166" t="s">
        <v>100</v>
      </c>
      <c r="H166" s="2">
        <v>1450</v>
      </c>
      <c r="I166" s="4">
        <v>0.1</v>
      </c>
      <c r="J166" s="2">
        <v>1450</v>
      </c>
      <c r="K166" s="2">
        <v>1305</v>
      </c>
      <c r="L166" t="str">
        <f>VLOOKUP(C166,Produtos!$A$1:$D$101,2,FALSE)</f>
        <v>Cadeira Gamer</v>
      </c>
      <c r="M166" t="str">
        <f>VLOOKUP(C166,Produtos!$A$1:$D$101,3,FALSE)</f>
        <v>Móveis</v>
      </c>
      <c r="N166" t="str">
        <f>VLOOKUP(B166,Clientes!$A$1:$E$101,3,FALSE)</f>
        <v>São Bernardo do Campo</v>
      </c>
    </row>
    <row r="167" spans="1:14" x14ac:dyDescent="0.3">
      <c r="A167">
        <v>1166</v>
      </c>
      <c r="B167">
        <v>17</v>
      </c>
      <c r="C167">
        <v>115</v>
      </c>
      <c r="D167" s="3">
        <v>46270</v>
      </c>
      <c r="E167">
        <v>1</v>
      </c>
      <c r="F167" t="s">
        <v>99</v>
      </c>
      <c r="G167" t="s">
        <v>102</v>
      </c>
      <c r="H167" s="2">
        <v>500</v>
      </c>
      <c r="I167" s="4">
        <v>0.1</v>
      </c>
      <c r="J167" s="2">
        <v>500</v>
      </c>
      <c r="K167" s="2">
        <v>450</v>
      </c>
      <c r="L167" t="str">
        <f>VLOOKUP(C167,Produtos!$A$1:$D$101,2,FALSE)</f>
        <v>SSD</v>
      </c>
      <c r="M167" t="str">
        <f>VLOOKUP(C167,Produtos!$A$1:$D$101,3,FALSE)</f>
        <v>Informática</v>
      </c>
      <c r="N167" t="str">
        <f>VLOOKUP(B167,Clientes!$A$1:$E$101,3,FALSE)</f>
        <v>Santo André</v>
      </c>
    </row>
    <row r="168" spans="1:14" x14ac:dyDescent="0.3">
      <c r="A168">
        <v>1167</v>
      </c>
      <c r="B168">
        <v>44</v>
      </c>
      <c r="C168">
        <v>143</v>
      </c>
      <c r="D168" s="3">
        <v>46272</v>
      </c>
      <c r="E168">
        <v>2</v>
      </c>
      <c r="F168" t="s">
        <v>103</v>
      </c>
      <c r="G168" t="s">
        <v>100</v>
      </c>
      <c r="H168" s="2">
        <v>1872</v>
      </c>
      <c r="I168" s="4">
        <v>0</v>
      </c>
      <c r="J168" s="2">
        <v>3744</v>
      </c>
      <c r="K168" s="2">
        <v>3744</v>
      </c>
      <c r="L168" t="str">
        <f>VLOOKUP(C168,Produtos!$A$1:$D$101,2,FALSE)</f>
        <v xml:space="preserve">Tablet </v>
      </c>
      <c r="M168" t="str">
        <f>VLOOKUP(C168,Produtos!$A$1:$D$101,3,FALSE)</f>
        <v>Eletrônicos</v>
      </c>
      <c r="N168" t="str">
        <f>VLOOKUP(B168,Clientes!$A$1:$E$101,3,FALSE)</f>
        <v>Piracicaba</v>
      </c>
    </row>
    <row r="169" spans="1:14" x14ac:dyDescent="0.3">
      <c r="A169">
        <v>1168</v>
      </c>
      <c r="B169">
        <v>92</v>
      </c>
      <c r="C169">
        <v>129</v>
      </c>
      <c r="D169" s="3">
        <v>46273</v>
      </c>
      <c r="E169">
        <v>1</v>
      </c>
      <c r="F169" t="s">
        <v>103</v>
      </c>
      <c r="G169" t="s">
        <v>100</v>
      </c>
      <c r="H169" s="2">
        <v>650</v>
      </c>
      <c r="I169" s="4">
        <v>0.1</v>
      </c>
      <c r="J169" s="2">
        <v>650</v>
      </c>
      <c r="K169" s="2">
        <v>585</v>
      </c>
      <c r="L169" t="str">
        <f>VLOOKUP(C169,Produtos!$A$1:$D$101,2,FALSE)</f>
        <v>Smartwatch</v>
      </c>
      <c r="M169" t="str">
        <f>VLOOKUP(C169,Produtos!$A$1:$D$101,3,FALSE)</f>
        <v>Eletrônicos</v>
      </c>
      <c r="N169" t="str">
        <f>VLOOKUP(B169,Clientes!$A$1:$E$101,3,FALSE)</f>
        <v>Santo André</v>
      </c>
    </row>
    <row r="170" spans="1:14" x14ac:dyDescent="0.3">
      <c r="A170">
        <v>1169</v>
      </c>
      <c r="B170">
        <v>30</v>
      </c>
      <c r="C170">
        <v>136</v>
      </c>
      <c r="D170" s="3">
        <v>46275</v>
      </c>
      <c r="E170">
        <v>1</v>
      </c>
      <c r="F170" t="s">
        <v>99</v>
      </c>
      <c r="G170" t="s">
        <v>100</v>
      </c>
      <c r="H170" s="2">
        <v>1144</v>
      </c>
      <c r="I170" s="4">
        <v>0</v>
      </c>
      <c r="J170" s="2">
        <v>1144</v>
      </c>
      <c r="K170" s="2">
        <v>1144</v>
      </c>
      <c r="L170" t="str">
        <f>VLOOKUP(C170,Produtos!$A$1:$D$101,2,FALSE)</f>
        <v xml:space="preserve">Mesa Escritório </v>
      </c>
      <c r="M170" t="str">
        <f>VLOOKUP(C170,Produtos!$A$1:$D$101,3,FALSE)</f>
        <v>Móveis</v>
      </c>
      <c r="N170" t="str">
        <f>VLOOKUP(B170,Clientes!$A$1:$E$101,3,FALSE)</f>
        <v>São José dos Campos</v>
      </c>
    </row>
    <row r="171" spans="1:14" x14ac:dyDescent="0.3">
      <c r="A171">
        <v>1170</v>
      </c>
      <c r="B171">
        <v>93</v>
      </c>
      <c r="C171">
        <v>113</v>
      </c>
      <c r="D171" s="3">
        <v>46276</v>
      </c>
      <c r="E171">
        <v>1</v>
      </c>
      <c r="F171" t="s">
        <v>101</v>
      </c>
      <c r="G171" t="s">
        <v>102</v>
      </c>
      <c r="H171" s="2">
        <v>1800</v>
      </c>
      <c r="I171" s="4">
        <v>0.05</v>
      </c>
      <c r="J171" s="2">
        <v>1800</v>
      </c>
      <c r="K171" s="2">
        <v>1710</v>
      </c>
      <c r="L171" t="str">
        <f>VLOOKUP(C171,Produtos!$A$1:$D$101,2,FALSE)</f>
        <v>Tablet</v>
      </c>
      <c r="M171" t="str">
        <f>VLOOKUP(C171,Produtos!$A$1:$D$101,3,FALSE)</f>
        <v>Eletrônicos</v>
      </c>
      <c r="N171" t="str">
        <f>VLOOKUP(B171,Clientes!$A$1:$E$101,3,FALSE)</f>
        <v>Mauá</v>
      </c>
    </row>
    <row r="172" spans="1:14" x14ac:dyDescent="0.3">
      <c r="A172">
        <v>1171</v>
      </c>
      <c r="B172">
        <v>46</v>
      </c>
      <c r="C172">
        <v>132</v>
      </c>
      <c r="D172" s="3">
        <v>46278</v>
      </c>
      <c r="E172">
        <v>1</v>
      </c>
      <c r="F172" t="s">
        <v>99</v>
      </c>
      <c r="G172" t="s">
        <v>100</v>
      </c>
      <c r="H172" s="2">
        <v>1248</v>
      </c>
      <c r="I172" s="4">
        <v>0</v>
      </c>
      <c r="J172" s="2">
        <v>1248</v>
      </c>
      <c r="K172" s="2">
        <v>1248</v>
      </c>
      <c r="L172" t="str">
        <f>VLOOKUP(C172,Produtos!$A$1:$D$101,2,FALSE)</f>
        <v xml:space="preserve">Monitor </v>
      </c>
      <c r="M172" t="str">
        <f>VLOOKUP(C172,Produtos!$A$1:$D$101,3,FALSE)</f>
        <v>Informática</v>
      </c>
      <c r="N172" t="str">
        <f>VLOOKUP(B172,Clientes!$A$1:$E$101,3,FALSE)</f>
        <v>São Paulo</v>
      </c>
    </row>
    <row r="173" spans="1:14" x14ac:dyDescent="0.3">
      <c r="A173">
        <v>1172</v>
      </c>
      <c r="B173">
        <v>6</v>
      </c>
      <c r="C173">
        <v>171</v>
      </c>
      <c r="D173" s="3">
        <v>46279</v>
      </c>
      <c r="E173">
        <v>1</v>
      </c>
      <c r="F173" t="s">
        <v>99</v>
      </c>
      <c r="G173" t="s">
        <v>100</v>
      </c>
      <c r="H173" s="2">
        <v>345.6</v>
      </c>
      <c r="I173" s="4">
        <v>0</v>
      </c>
      <c r="J173" s="2">
        <v>345.6</v>
      </c>
      <c r="K173" s="2">
        <v>345.6</v>
      </c>
      <c r="L173" t="str">
        <f>VLOOKUP(C173,Produtos!$A$1:$D$101,2,FALSE)</f>
        <v xml:space="preserve">Webcam </v>
      </c>
      <c r="M173" t="str">
        <f>VLOOKUP(C173,Produtos!$A$1:$D$101,3,FALSE)</f>
        <v>Informática</v>
      </c>
      <c r="N173" t="str">
        <f>VLOOKUP(B173,Clientes!$A$1:$E$101,3,FALSE)</f>
        <v>Osasco</v>
      </c>
    </row>
    <row r="174" spans="1:14" x14ac:dyDescent="0.3">
      <c r="A174">
        <v>1173</v>
      </c>
      <c r="B174">
        <v>99</v>
      </c>
      <c r="C174">
        <v>159</v>
      </c>
      <c r="D174" s="3">
        <v>46281</v>
      </c>
      <c r="E174">
        <v>1</v>
      </c>
      <c r="F174" t="s">
        <v>103</v>
      </c>
      <c r="G174" t="s">
        <v>100</v>
      </c>
      <c r="H174" s="2">
        <v>676</v>
      </c>
      <c r="I174" s="4">
        <v>0</v>
      </c>
      <c r="J174" s="2">
        <v>676</v>
      </c>
      <c r="K174" s="2">
        <v>676</v>
      </c>
      <c r="L174" t="str">
        <f>VLOOKUP(C174,Produtos!$A$1:$D$101,2,FALSE)</f>
        <v xml:space="preserve">Smartwatch </v>
      </c>
      <c r="M174" t="str">
        <f>VLOOKUP(C174,Produtos!$A$1:$D$101,3,FALSE)</f>
        <v>Eletrônicos</v>
      </c>
      <c r="N174" t="str">
        <f>VLOOKUP(B174,Clientes!$A$1:$E$101,3,FALSE)</f>
        <v>Campinas</v>
      </c>
    </row>
    <row r="175" spans="1:14" x14ac:dyDescent="0.3">
      <c r="A175">
        <v>1174</v>
      </c>
      <c r="B175">
        <v>37</v>
      </c>
      <c r="C175">
        <v>186</v>
      </c>
      <c r="D175" s="3">
        <v>46282</v>
      </c>
      <c r="E175">
        <v>1</v>
      </c>
      <c r="F175" t="s">
        <v>103</v>
      </c>
      <c r="G175" t="s">
        <v>102</v>
      </c>
      <c r="H175" s="2">
        <v>129.6</v>
      </c>
      <c r="I175" s="4">
        <v>0.05</v>
      </c>
      <c r="J175" s="2">
        <v>129.6</v>
      </c>
      <c r="K175" s="2">
        <v>123.12</v>
      </c>
      <c r="L175" t="str">
        <f>VLOOKUP(C175,Produtos!$A$1:$D$101,2,FALSE)</f>
        <v xml:space="preserve">Hub USB </v>
      </c>
      <c r="M175" t="str">
        <f>VLOOKUP(C175,Produtos!$A$1:$D$101,3,FALSE)</f>
        <v>Informática</v>
      </c>
      <c r="N175" t="str">
        <f>VLOOKUP(B175,Clientes!$A$1:$E$101,3,FALSE)</f>
        <v>Mogi das Cruzes</v>
      </c>
    </row>
    <row r="176" spans="1:14" x14ac:dyDescent="0.3">
      <c r="A176">
        <v>1175</v>
      </c>
      <c r="B176">
        <v>24</v>
      </c>
      <c r="C176">
        <v>128</v>
      </c>
      <c r="D176" s="3">
        <v>46284</v>
      </c>
      <c r="E176">
        <v>3</v>
      </c>
      <c r="F176" t="s">
        <v>99</v>
      </c>
      <c r="G176" t="s">
        <v>100</v>
      </c>
      <c r="H176" s="2">
        <v>110</v>
      </c>
      <c r="I176" s="4">
        <v>0</v>
      </c>
      <c r="J176" s="2">
        <v>330</v>
      </c>
      <c r="K176" s="2">
        <v>330</v>
      </c>
      <c r="L176" t="str">
        <f>VLOOKUP(C176,Produtos!$A$1:$D$101,2,FALSE)</f>
        <v>Carregador</v>
      </c>
      <c r="M176" t="str">
        <f>VLOOKUP(C176,Produtos!$A$1:$D$101,3,FALSE)</f>
        <v>Eletrônicos</v>
      </c>
      <c r="N176" t="str">
        <f>VLOOKUP(B176,Clientes!$A$1:$E$101,3,FALSE)</f>
        <v>Campinas</v>
      </c>
    </row>
    <row r="177" spans="1:14" x14ac:dyDescent="0.3">
      <c r="A177">
        <v>1176</v>
      </c>
      <c r="B177">
        <v>93</v>
      </c>
      <c r="C177">
        <v>166</v>
      </c>
      <c r="D177" s="3">
        <v>46285</v>
      </c>
      <c r="E177">
        <v>1</v>
      </c>
      <c r="F177" t="s">
        <v>103</v>
      </c>
      <c r="G177" t="s">
        <v>102</v>
      </c>
      <c r="H177" s="2">
        <v>1188</v>
      </c>
      <c r="I177" s="4">
        <v>0.05</v>
      </c>
      <c r="J177" s="2">
        <v>1188</v>
      </c>
      <c r="K177" s="2">
        <v>1128.5999999999999</v>
      </c>
      <c r="L177" t="str">
        <f>VLOOKUP(C177,Produtos!$A$1:$D$101,2,FALSE)</f>
        <v xml:space="preserve">Mesa Escritório </v>
      </c>
      <c r="M177" t="str">
        <f>VLOOKUP(C177,Produtos!$A$1:$D$101,3,FALSE)</f>
        <v>Móveis</v>
      </c>
      <c r="N177" t="str">
        <f>VLOOKUP(B177,Clientes!$A$1:$E$101,3,FALSE)</f>
        <v>Mauá</v>
      </c>
    </row>
    <row r="178" spans="1:14" x14ac:dyDescent="0.3">
      <c r="A178">
        <v>1177</v>
      </c>
      <c r="B178">
        <v>46</v>
      </c>
      <c r="C178">
        <v>142</v>
      </c>
      <c r="D178" s="3">
        <v>46287</v>
      </c>
      <c r="E178">
        <v>2</v>
      </c>
      <c r="F178" t="s">
        <v>103</v>
      </c>
      <c r="G178" t="s">
        <v>102</v>
      </c>
      <c r="H178" s="2">
        <v>436.8</v>
      </c>
      <c r="I178" s="4">
        <v>0</v>
      </c>
      <c r="J178" s="2">
        <v>873.6</v>
      </c>
      <c r="K178" s="2">
        <v>873.6</v>
      </c>
      <c r="L178" t="str">
        <f>VLOOKUP(C178,Produtos!$A$1:$D$101,2,FALSE)</f>
        <v xml:space="preserve">Headset </v>
      </c>
      <c r="M178" t="str">
        <f>VLOOKUP(C178,Produtos!$A$1:$D$101,3,FALSE)</f>
        <v>Eletrônicos</v>
      </c>
      <c r="N178" t="str">
        <f>VLOOKUP(B178,Clientes!$A$1:$E$101,3,FALSE)</f>
        <v>São Paulo</v>
      </c>
    </row>
    <row r="179" spans="1:14" x14ac:dyDescent="0.3">
      <c r="A179">
        <v>1178</v>
      </c>
      <c r="B179">
        <v>53</v>
      </c>
      <c r="C179">
        <v>145</v>
      </c>
      <c r="D179" s="3">
        <v>46288</v>
      </c>
      <c r="E179">
        <v>2</v>
      </c>
      <c r="F179" t="s">
        <v>103</v>
      </c>
      <c r="G179" t="s">
        <v>100</v>
      </c>
      <c r="H179" s="2">
        <v>520</v>
      </c>
      <c r="I179" s="4">
        <v>0</v>
      </c>
      <c r="J179" s="2">
        <v>1040</v>
      </c>
      <c r="K179" s="2">
        <v>1040</v>
      </c>
      <c r="L179" t="str">
        <f>VLOOKUP(C179,Produtos!$A$1:$D$101,2,FALSE)</f>
        <v xml:space="preserve">SSD </v>
      </c>
      <c r="M179" t="str">
        <f>VLOOKUP(C179,Produtos!$A$1:$D$101,3,FALSE)</f>
        <v>Informática</v>
      </c>
      <c r="N179" t="str">
        <f>VLOOKUP(B179,Clientes!$A$1:$E$101,3,FALSE)</f>
        <v>Santos</v>
      </c>
    </row>
    <row r="180" spans="1:14" x14ac:dyDescent="0.3">
      <c r="A180">
        <v>1179</v>
      </c>
      <c r="B180">
        <v>95</v>
      </c>
      <c r="C180">
        <v>162</v>
      </c>
      <c r="D180" s="3">
        <v>46290</v>
      </c>
      <c r="E180">
        <v>1</v>
      </c>
      <c r="F180" t="s">
        <v>103</v>
      </c>
      <c r="G180" t="s">
        <v>100</v>
      </c>
      <c r="H180" s="2">
        <v>1296</v>
      </c>
      <c r="I180" s="4">
        <v>0</v>
      </c>
      <c r="J180" s="2">
        <v>1296</v>
      </c>
      <c r="K180" s="2">
        <v>1296</v>
      </c>
      <c r="L180" t="str">
        <f>VLOOKUP(C180,Produtos!$A$1:$D$101,2,FALSE)</f>
        <v xml:space="preserve">Monitor </v>
      </c>
      <c r="M180" t="str">
        <f>VLOOKUP(C180,Produtos!$A$1:$D$101,3,FALSE)</f>
        <v>Informática</v>
      </c>
      <c r="N180" t="str">
        <f>VLOOKUP(B180,Clientes!$A$1:$E$101,3,FALSE)</f>
        <v>Guarulhos</v>
      </c>
    </row>
    <row r="181" spans="1:14" x14ac:dyDescent="0.3">
      <c r="A181">
        <v>1180</v>
      </c>
      <c r="B181">
        <v>99</v>
      </c>
      <c r="C181">
        <v>157</v>
      </c>
      <c r="D181" s="3">
        <v>46291</v>
      </c>
      <c r="E181">
        <v>2</v>
      </c>
      <c r="F181" t="s">
        <v>103</v>
      </c>
      <c r="G181" t="s">
        <v>104</v>
      </c>
      <c r="H181" s="2">
        <v>72.8</v>
      </c>
      <c r="I181" s="4">
        <v>0.05</v>
      </c>
      <c r="J181" s="2">
        <v>145.6</v>
      </c>
      <c r="K181" s="2">
        <v>138.32</v>
      </c>
      <c r="L181" t="str">
        <f>VLOOKUP(C181,Produtos!$A$1:$D$101,2,FALSE)</f>
        <v xml:space="preserve">Pen Drive </v>
      </c>
      <c r="M181" t="str">
        <f>VLOOKUP(C181,Produtos!$A$1:$D$101,3,FALSE)</f>
        <v>Informática</v>
      </c>
      <c r="N181" t="str">
        <f>VLOOKUP(B181,Clientes!$A$1:$E$101,3,FALSE)</f>
        <v>Campinas</v>
      </c>
    </row>
    <row r="182" spans="1:14" x14ac:dyDescent="0.3">
      <c r="A182">
        <v>1181</v>
      </c>
      <c r="B182">
        <v>60</v>
      </c>
      <c r="C182">
        <v>106</v>
      </c>
      <c r="D182" s="3">
        <v>46293</v>
      </c>
      <c r="E182">
        <v>1</v>
      </c>
      <c r="F182" t="s">
        <v>103</v>
      </c>
      <c r="G182" t="s">
        <v>100</v>
      </c>
      <c r="H182" s="2">
        <v>1100</v>
      </c>
      <c r="I182" s="4">
        <v>0</v>
      </c>
      <c r="J182" s="2">
        <v>1100</v>
      </c>
      <c r="K182" s="2">
        <v>1100</v>
      </c>
      <c r="L182" t="str">
        <f>VLOOKUP(C182,Produtos!$A$1:$D$101,2,FALSE)</f>
        <v>Mesa Escritório</v>
      </c>
      <c r="M182" t="str">
        <f>VLOOKUP(C182,Produtos!$A$1:$D$101,3,FALSE)</f>
        <v>Móveis</v>
      </c>
      <c r="N182" t="str">
        <f>VLOOKUP(B182,Clientes!$A$1:$E$101,3,FALSE)</f>
        <v>São José dos Campos</v>
      </c>
    </row>
    <row r="183" spans="1:14" x14ac:dyDescent="0.3">
      <c r="A183">
        <v>1182</v>
      </c>
      <c r="B183">
        <v>97</v>
      </c>
      <c r="C183">
        <v>128</v>
      </c>
      <c r="D183" s="3">
        <v>46294</v>
      </c>
      <c r="E183">
        <v>4</v>
      </c>
      <c r="F183" t="s">
        <v>103</v>
      </c>
      <c r="G183" t="s">
        <v>100</v>
      </c>
      <c r="H183" s="2">
        <v>110</v>
      </c>
      <c r="I183" s="4">
        <v>0.05</v>
      </c>
      <c r="J183" s="2">
        <v>440</v>
      </c>
      <c r="K183" s="2">
        <v>418</v>
      </c>
      <c r="L183" t="str">
        <f>VLOOKUP(C183,Produtos!$A$1:$D$101,2,FALSE)</f>
        <v>Carregador</v>
      </c>
      <c r="M183" t="str">
        <f>VLOOKUP(C183,Produtos!$A$1:$D$101,3,FALSE)</f>
        <v>Eletrônicos</v>
      </c>
      <c r="N183" t="str">
        <f>VLOOKUP(B183,Clientes!$A$1:$E$101,3,FALSE)</f>
        <v>Mogi das Cruzes</v>
      </c>
    </row>
    <row r="184" spans="1:14" x14ac:dyDescent="0.3">
      <c r="A184">
        <v>1183</v>
      </c>
      <c r="B184">
        <v>63</v>
      </c>
      <c r="C184">
        <v>128</v>
      </c>
      <c r="D184" s="3">
        <v>46296</v>
      </c>
      <c r="E184">
        <v>1</v>
      </c>
      <c r="F184" t="s">
        <v>103</v>
      </c>
      <c r="G184" t="s">
        <v>102</v>
      </c>
      <c r="H184" s="2">
        <v>110</v>
      </c>
      <c r="I184" s="4">
        <v>0.1</v>
      </c>
      <c r="J184" s="2">
        <v>110</v>
      </c>
      <c r="K184" s="2">
        <v>99</v>
      </c>
      <c r="L184" t="str">
        <f>VLOOKUP(C184,Produtos!$A$1:$D$101,2,FALSE)</f>
        <v>Carregador</v>
      </c>
      <c r="M184" t="str">
        <f>VLOOKUP(C184,Produtos!$A$1:$D$101,3,FALSE)</f>
        <v>Eletrônicos</v>
      </c>
      <c r="N184" t="str">
        <f>VLOOKUP(B184,Clientes!$A$1:$E$101,3,FALSE)</f>
        <v>Mauá</v>
      </c>
    </row>
    <row r="185" spans="1:14" x14ac:dyDescent="0.3">
      <c r="A185">
        <v>1184</v>
      </c>
      <c r="B185">
        <v>85</v>
      </c>
      <c r="C185">
        <v>144</v>
      </c>
      <c r="D185" s="3">
        <v>46297</v>
      </c>
      <c r="E185">
        <v>1</v>
      </c>
      <c r="F185" t="s">
        <v>101</v>
      </c>
      <c r="G185" t="s">
        <v>104</v>
      </c>
      <c r="H185" s="2">
        <v>468</v>
      </c>
      <c r="I185" s="4">
        <v>0.05</v>
      </c>
      <c r="J185" s="2">
        <v>468</v>
      </c>
      <c r="K185" s="2">
        <v>444.6</v>
      </c>
      <c r="L185" t="str">
        <f>VLOOKUP(C185,Produtos!$A$1:$D$101,2,FALSE)</f>
        <v xml:space="preserve">HD Externo </v>
      </c>
      <c r="M185" t="str">
        <f>VLOOKUP(C185,Produtos!$A$1:$D$101,3,FALSE)</f>
        <v>Informática</v>
      </c>
      <c r="N185" t="str">
        <f>VLOOKUP(B185,Clientes!$A$1:$E$101,3,FALSE)</f>
        <v>Sorocaba</v>
      </c>
    </row>
    <row r="186" spans="1:14" x14ac:dyDescent="0.3">
      <c r="A186">
        <v>1185</v>
      </c>
      <c r="B186">
        <v>32</v>
      </c>
      <c r="C186">
        <v>184</v>
      </c>
      <c r="D186" s="3">
        <v>46299</v>
      </c>
      <c r="E186">
        <v>1</v>
      </c>
      <c r="F186" t="s">
        <v>99</v>
      </c>
      <c r="G186" t="s">
        <v>104</v>
      </c>
      <c r="H186" s="2">
        <v>1404</v>
      </c>
      <c r="I186" s="4">
        <v>0</v>
      </c>
      <c r="J186" s="2">
        <v>1404</v>
      </c>
      <c r="K186" s="2">
        <v>1404</v>
      </c>
      <c r="L186" t="str">
        <f>VLOOKUP(C186,Produtos!$A$1:$D$101,2,FALSE)</f>
        <v xml:space="preserve">Armário </v>
      </c>
      <c r="M186" t="str">
        <f>VLOOKUP(C186,Produtos!$A$1:$D$101,3,FALSE)</f>
        <v>Móveis</v>
      </c>
      <c r="N186" t="str">
        <f>VLOOKUP(B186,Clientes!$A$1:$E$101,3,FALSE)</f>
        <v>Santo André</v>
      </c>
    </row>
    <row r="187" spans="1:14" x14ac:dyDescent="0.3">
      <c r="A187">
        <v>1186</v>
      </c>
      <c r="B187">
        <v>87</v>
      </c>
      <c r="C187">
        <v>130</v>
      </c>
      <c r="D187" s="3">
        <v>46300</v>
      </c>
      <c r="E187">
        <v>4</v>
      </c>
      <c r="F187" t="s">
        <v>99</v>
      </c>
      <c r="G187" t="s">
        <v>102</v>
      </c>
      <c r="H187" s="2">
        <v>600</v>
      </c>
      <c r="I187" s="4">
        <v>0</v>
      </c>
      <c r="J187" s="2">
        <v>2400</v>
      </c>
      <c r="K187" s="2">
        <v>2400</v>
      </c>
      <c r="L187" t="str">
        <f>VLOOKUP(C187,Produtos!$A$1:$D$101,2,FALSE)</f>
        <v>Mesa Digitalizadora</v>
      </c>
      <c r="M187" t="str">
        <f>VLOOKUP(C187,Produtos!$A$1:$D$101,3,FALSE)</f>
        <v>Informática</v>
      </c>
      <c r="N187" t="str">
        <f>VLOOKUP(B187,Clientes!$A$1:$E$101,3,FALSE)</f>
        <v>Diadema</v>
      </c>
    </row>
    <row r="188" spans="1:14" x14ac:dyDescent="0.3">
      <c r="A188">
        <v>1187</v>
      </c>
      <c r="B188">
        <v>33</v>
      </c>
      <c r="C188">
        <v>162</v>
      </c>
      <c r="D188" s="3">
        <v>46302</v>
      </c>
      <c r="E188">
        <v>2</v>
      </c>
      <c r="F188" t="s">
        <v>99</v>
      </c>
      <c r="G188" t="s">
        <v>100</v>
      </c>
      <c r="H188" s="2">
        <v>1296</v>
      </c>
      <c r="I188" s="4">
        <v>0.1</v>
      </c>
      <c r="J188" s="2">
        <v>2592</v>
      </c>
      <c r="K188" s="2">
        <v>2332.8000000000002</v>
      </c>
      <c r="L188" t="str">
        <f>VLOOKUP(C188,Produtos!$A$1:$D$101,2,FALSE)</f>
        <v xml:space="preserve">Monitor </v>
      </c>
      <c r="M188" t="str">
        <f>VLOOKUP(C188,Produtos!$A$1:$D$101,3,FALSE)</f>
        <v>Informática</v>
      </c>
      <c r="N188" t="str">
        <f>VLOOKUP(B188,Clientes!$A$1:$E$101,3,FALSE)</f>
        <v>Mauá</v>
      </c>
    </row>
    <row r="189" spans="1:14" x14ac:dyDescent="0.3">
      <c r="A189">
        <v>1188</v>
      </c>
      <c r="B189">
        <v>67</v>
      </c>
      <c r="C189">
        <v>175</v>
      </c>
      <c r="D189" s="3">
        <v>46303</v>
      </c>
      <c r="E189">
        <v>2</v>
      </c>
      <c r="F189" t="s">
        <v>103</v>
      </c>
      <c r="G189" t="s">
        <v>100</v>
      </c>
      <c r="H189" s="2">
        <v>540</v>
      </c>
      <c r="I189" s="4">
        <v>0</v>
      </c>
      <c r="J189" s="2">
        <v>1080</v>
      </c>
      <c r="K189" s="2">
        <v>1080</v>
      </c>
      <c r="L189" t="str">
        <f>VLOOKUP(C189,Produtos!$A$1:$D$101,2,FALSE)</f>
        <v xml:space="preserve">SSD </v>
      </c>
      <c r="M189" t="str">
        <f>VLOOKUP(C189,Produtos!$A$1:$D$101,3,FALSE)</f>
        <v>Informática</v>
      </c>
      <c r="N189" t="str">
        <f>VLOOKUP(B189,Clientes!$A$1:$E$101,3,FALSE)</f>
        <v>Mogi das Cruzes</v>
      </c>
    </row>
    <row r="190" spans="1:14" x14ac:dyDescent="0.3">
      <c r="A190">
        <v>1189</v>
      </c>
      <c r="B190">
        <v>18</v>
      </c>
      <c r="C190">
        <v>192</v>
      </c>
      <c r="D190" s="3">
        <v>46305</v>
      </c>
      <c r="E190">
        <v>1</v>
      </c>
      <c r="F190" t="s">
        <v>103</v>
      </c>
      <c r="G190" t="s">
        <v>102</v>
      </c>
      <c r="H190" s="2">
        <v>1344</v>
      </c>
      <c r="I190" s="4">
        <v>0.1</v>
      </c>
      <c r="J190" s="2">
        <v>1344</v>
      </c>
      <c r="K190" s="2">
        <v>1209.5999999999999</v>
      </c>
      <c r="L190" t="str">
        <f>VLOOKUP(C190,Produtos!$A$1:$D$101,2,FALSE)</f>
        <v xml:space="preserve">Monitor </v>
      </c>
      <c r="M190" t="str">
        <f>VLOOKUP(C190,Produtos!$A$1:$D$101,3,FALSE)</f>
        <v>Informática</v>
      </c>
      <c r="N190" t="str">
        <f>VLOOKUP(B190,Clientes!$A$1:$E$101,3,FALSE)</f>
        <v>Mauá</v>
      </c>
    </row>
    <row r="191" spans="1:14" x14ac:dyDescent="0.3">
      <c r="A191">
        <v>1190</v>
      </c>
      <c r="B191">
        <v>25</v>
      </c>
      <c r="C191">
        <v>189</v>
      </c>
      <c r="D191" s="3">
        <v>46306</v>
      </c>
      <c r="E191">
        <v>2</v>
      </c>
      <c r="F191" t="s">
        <v>99</v>
      </c>
      <c r="G191" t="s">
        <v>100</v>
      </c>
      <c r="H191" s="2">
        <v>702</v>
      </c>
      <c r="I191" s="4">
        <v>0</v>
      </c>
      <c r="J191" s="2">
        <v>1404</v>
      </c>
      <c r="K191" s="2">
        <v>1404</v>
      </c>
      <c r="L191" t="str">
        <f>VLOOKUP(C191,Produtos!$A$1:$D$101,2,FALSE)</f>
        <v xml:space="preserve">Smartwatch </v>
      </c>
      <c r="M191" t="str">
        <f>VLOOKUP(C191,Produtos!$A$1:$D$101,3,FALSE)</f>
        <v>Eletrônicos</v>
      </c>
      <c r="N191" t="str">
        <f>VLOOKUP(B191,Clientes!$A$1:$E$101,3,FALSE)</f>
        <v>Sorocaba</v>
      </c>
    </row>
    <row r="192" spans="1:14" x14ac:dyDescent="0.3">
      <c r="A192">
        <v>1191</v>
      </c>
      <c r="B192">
        <v>95</v>
      </c>
      <c r="C192">
        <v>162</v>
      </c>
      <c r="D192" s="3">
        <v>46308</v>
      </c>
      <c r="E192">
        <v>1</v>
      </c>
      <c r="F192" t="s">
        <v>99</v>
      </c>
      <c r="G192" t="s">
        <v>100</v>
      </c>
      <c r="H192" s="2">
        <v>1296</v>
      </c>
      <c r="I192" s="4">
        <v>0.1</v>
      </c>
      <c r="J192" s="2">
        <v>1296</v>
      </c>
      <c r="K192" s="2">
        <v>1166.4000000000001</v>
      </c>
      <c r="L192" t="str">
        <f>VLOOKUP(C192,Produtos!$A$1:$D$101,2,FALSE)</f>
        <v xml:space="preserve">Monitor </v>
      </c>
      <c r="M192" t="str">
        <f>VLOOKUP(C192,Produtos!$A$1:$D$101,3,FALSE)</f>
        <v>Informática</v>
      </c>
      <c r="N192" t="str">
        <f>VLOOKUP(B192,Clientes!$A$1:$E$101,3,FALSE)</f>
        <v>Guarulhos</v>
      </c>
    </row>
    <row r="193" spans="1:14" x14ac:dyDescent="0.3">
      <c r="A193">
        <v>1192</v>
      </c>
      <c r="B193">
        <v>54</v>
      </c>
      <c r="C193">
        <v>197</v>
      </c>
      <c r="D193" s="3">
        <v>46309</v>
      </c>
      <c r="E193">
        <v>3</v>
      </c>
      <c r="F193" t="s">
        <v>99</v>
      </c>
      <c r="G193" t="s">
        <v>104</v>
      </c>
      <c r="H193" s="2">
        <v>280</v>
      </c>
      <c r="I193" s="4">
        <v>0.05</v>
      </c>
      <c r="J193" s="2">
        <v>840</v>
      </c>
      <c r="K193" s="2">
        <v>798</v>
      </c>
      <c r="L193" t="str">
        <f>VLOOKUP(C193,Produtos!$A$1:$D$101,2,FALSE)</f>
        <v xml:space="preserve">Fone de Ouvido </v>
      </c>
      <c r="M193" t="str">
        <f>VLOOKUP(C193,Produtos!$A$1:$D$101,3,FALSE)</f>
        <v>Eletrônicos</v>
      </c>
      <c r="N193" t="str">
        <f>VLOOKUP(B193,Clientes!$A$1:$E$101,3,FALSE)</f>
        <v>Campinas</v>
      </c>
    </row>
    <row r="194" spans="1:14" x14ac:dyDescent="0.3">
      <c r="A194">
        <v>1193</v>
      </c>
      <c r="B194">
        <v>58</v>
      </c>
      <c r="C194">
        <v>101</v>
      </c>
      <c r="D194" s="3">
        <v>46311</v>
      </c>
      <c r="E194">
        <v>1</v>
      </c>
      <c r="F194" t="s">
        <v>103</v>
      </c>
      <c r="G194" t="s">
        <v>100</v>
      </c>
      <c r="H194" s="2">
        <v>3500</v>
      </c>
      <c r="I194" s="4">
        <v>0.15</v>
      </c>
      <c r="J194" s="2">
        <v>3500</v>
      </c>
      <c r="K194" s="2">
        <v>2975</v>
      </c>
      <c r="L194" t="str">
        <f>VLOOKUP(C194,Produtos!$A$1:$D$101,2,FALSE)</f>
        <v>Notebook</v>
      </c>
      <c r="M194" t="str">
        <f>VLOOKUP(C194,Produtos!$A$1:$D$101,3,FALSE)</f>
        <v>Informática</v>
      </c>
      <c r="N194" t="str">
        <f>VLOOKUP(B194,Clientes!$A$1:$E$101,3,FALSE)</f>
        <v>Bauru</v>
      </c>
    </row>
    <row r="195" spans="1:14" x14ac:dyDescent="0.3">
      <c r="A195">
        <v>1194</v>
      </c>
      <c r="B195">
        <v>67</v>
      </c>
      <c r="C195">
        <v>127</v>
      </c>
      <c r="D195" s="3">
        <v>46312</v>
      </c>
      <c r="E195">
        <v>1</v>
      </c>
      <c r="F195" t="s">
        <v>103</v>
      </c>
      <c r="G195" t="s">
        <v>100</v>
      </c>
      <c r="H195" s="2">
        <v>70</v>
      </c>
      <c r="I195" s="4">
        <v>0</v>
      </c>
      <c r="J195" s="2">
        <v>70</v>
      </c>
      <c r="K195" s="2">
        <v>70</v>
      </c>
      <c r="L195" t="str">
        <f>VLOOKUP(C195,Produtos!$A$1:$D$101,2,FALSE)</f>
        <v>Pen Drive</v>
      </c>
      <c r="M195" t="str">
        <f>VLOOKUP(C195,Produtos!$A$1:$D$101,3,FALSE)</f>
        <v>Informática</v>
      </c>
      <c r="N195" t="str">
        <f>VLOOKUP(B195,Clientes!$A$1:$E$101,3,FALSE)</f>
        <v>Mogi das Cruzes</v>
      </c>
    </row>
    <row r="196" spans="1:14" x14ac:dyDescent="0.3">
      <c r="A196">
        <v>1195</v>
      </c>
      <c r="B196">
        <v>46</v>
      </c>
      <c r="C196">
        <v>162</v>
      </c>
      <c r="D196" s="3">
        <v>46314</v>
      </c>
      <c r="E196">
        <v>1</v>
      </c>
      <c r="F196" t="s">
        <v>103</v>
      </c>
      <c r="G196" t="s">
        <v>100</v>
      </c>
      <c r="H196" s="2">
        <v>1296</v>
      </c>
      <c r="I196" s="4">
        <v>0.05</v>
      </c>
      <c r="J196" s="2">
        <v>1296</v>
      </c>
      <c r="K196" s="2">
        <v>1231.2</v>
      </c>
      <c r="L196" t="str">
        <f>VLOOKUP(C196,Produtos!$A$1:$D$101,2,FALSE)</f>
        <v xml:space="preserve">Monitor </v>
      </c>
      <c r="M196" t="str">
        <f>VLOOKUP(C196,Produtos!$A$1:$D$101,3,FALSE)</f>
        <v>Informática</v>
      </c>
      <c r="N196" t="str">
        <f>VLOOKUP(B196,Clientes!$A$1:$E$101,3,FALSE)</f>
        <v>São Paulo</v>
      </c>
    </row>
    <row r="197" spans="1:14" x14ac:dyDescent="0.3">
      <c r="A197">
        <v>1196</v>
      </c>
      <c r="B197">
        <v>24</v>
      </c>
      <c r="C197">
        <v>177</v>
      </c>
      <c r="D197" s="3">
        <v>46315</v>
      </c>
      <c r="E197">
        <v>1</v>
      </c>
      <c r="F197" t="s">
        <v>103</v>
      </c>
      <c r="G197" t="s">
        <v>100</v>
      </c>
      <c r="H197" s="2">
        <v>86.4</v>
      </c>
      <c r="I197" s="4">
        <v>0</v>
      </c>
      <c r="J197" s="2">
        <v>86.4</v>
      </c>
      <c r="K197" s="2">
        <v>86.4</v>
      </c>
      <c r="L197" t="str">
        <f>VLOOKUP(C197,Produtos!$A$1:$D$101,2,FALSE)</f>
        <v xml:space="preserve">Mousepad </v>
      </c>
      <c r="M197" t="str">
        <f>VLOOKUP(C197,Produtos!$A$1:$D$101,3,FALSE)</f>
        <v>Acessórios</v>
      </c>
      <c r="N197" t="str">
        <f>VLOOKUP(B197,Clientes!$A$1:$E$101,3,FALSE)</f>
        <v>Campinas</v>
      </c>
    </row>
    <row r="198" spans="1:14" x14ac:dyDescent="0.3">
      <c r="A198">
        <v>1197</v>
      </c>
      <c r="B198">
        <v>32</v>
      </c>
      <c r="C198">
        <v>103</v>
      </c>
      <c r="D198" s="3">
        <v>46317</v>
      </c>
      <c r="E198">
        <v>2</v>
      </c>
      <c r="F198" t="s">
        <v>99</v>
      </c>
      <c r="G198" t="s">
        <v>100</v>
      </c>
      <c r="H198" s="2">
        <v>180</v>
      </c>
      <c r="I198" s="4">
        <v>0</v>
      </c>
      <c r="J198" s="2">
        <v>360</v>
      </c>
      <c r="K198" s="2">
        <v>360</v>
      </c>
      <c r="L198" t="str">
        <f>VLOOKUP(C198,Produtos!$A$1:$D$101,2,FALSE)</f>
        <v>Teclado</v>
      </c>
      <c r="M198" t="str">
        <f>VLOOKUP(C198,Produtos!$A$1:$D$101,3,FALSE)</f>
        <v>Informática</v>
      </c>
      <c r="N198" t="str">
        <f>VLOOKUP(B198,Clientes!$A$1:$E$101,3,FALSE)</f>
        <v>Santo André</v>
      </c>
    </row>
    <row r="199" spans="1:14" x14ac:dyDescent="0.3">
      <c r="A199">
        <v>1198</v>
      </c>
      <c r="B199">
        <v>47</v>
      </c>
      <c r="C199">
        <v>170</v>
      </c>
      <c r="D199" s="3">
        <v>46318</v>
      </c>
      <c r="E199">
        <v>1</v>
      </c>
      <c r="F199" t="s">
        <v>99</v>
      </c>
      <c r="G199" t="s">
        <v>100</v>
      </c>
      <c r="H199" s="2">
        <v>172.8</v>
      </c>
      <c r="I199" s="4">
        <v>0.05</v>
      </c>
      <c r="J199" s="2">
        <v>172.8</v>
      </c>
      <c r="K199" s="2">
        <v>164.16</v>
      </c>
      <c r="L199" t="str">
        <f>VLOOKUP(C199,Produtos!$A$1:$D$101,2,FALSE)</f>
        <v xml:space="preserve">Mochila </v>
      </c>
      <c r="M199" t="str">
        <f>VLOOKUP(C199,Produtos!$A$1:$D$101,3,FALSE)</f>
        <v>Acessórios</v>
      </c>
      <c r="N199" t="str">
        <f>VLOOKUP(B199,Clientes!$A$1:$E$101,3,FALSE)</f>
        <v>Santo André</v>
      </c>
    </row>
    <row r="200" spans="1:14" x14ac:dyDescent="0.3">
      <c r="A200">
        <v>1199</v>
      </c>
      <c r="B200">
        <v>86</v>
      </c>
      <c r="C200">
        <v>172</v>
      </c>
      <c r="D200" s="3">
        <v>46320</v>
      </c>
      <c r="E200">
        <v>2</v>
      </c>
      <c r="F200" t="s">
        <v>103</v>
      </c>
      <c r="G200" t="s">
        <v>100</v>
      </c>
      <c r="H200" s="2">
        <v>453.6</v>
      </c>
      <c r="I200" s="4">
        <v>0.1</v>
      </c>
      <c r="J200" s="2">
        <v>907.2</v>
      </c>
      <c r="K200" s="2">
        <v>816.48</v>
      </c>
      <c r="L200" t="str">
        <f>VLOOKUP(C200,Produtos!$A$1:$D$101,2,FALSE)</f>
        <v xml:space="preserve">Headset </v>
      </c>
      <c r="M200" t="str">
        <f>VLOOKUP(C200,Produtos!$A$1:$D$101,3,FALSE)</f>
        <v>Eletrônicos</v>
      </c>
      <c r="N200" t="str">
        <f>VLOOKUP(B200,Clientes!$A$1:$E$101,3,FALSE)</f>
        <v>Jundiaí</v>
      </c>
    </row>
    <row r="201" spans="1:14" x14ac:dyDescent="0.3">
      <c r="A201">
        <v>1200</v>
      </c>
      <c r="B201">
        <v>23</v>
      </c>
      <c r="C201">
        <v>127</v>
      </c>
      <c r="D201" s="3">
        <v>46321</v>
      </c>
      <c r="E201">
        <v>1</v>
      </c>
      <c r="F201" t="s">
        <v>101</v>
      </c>
      <c r="G201" t="s">
        <v>100</v>
      </c>
      <c r="H201" s="2">
        <v>70</v>
      </c>
      <c r="I201" s="4">
        <v>0.15</v>
      </c>
      <c r="J201" s="2">
        <v>70</v>
      </c>
      <c r="K201" s="2">
        <v>59.5</v>
      </c>
      <c r="L201" t="str">
        <f>VLOOKUP(C201,Produtos!$A$1:$D$101,2,FALSE)</f>
        <v>Pen Drive</v>
      </c>
      <c r="M201" t="str">
        <f>VLOOKUP(C201,Produtos!$A$1:$D$101,3,FALSE)</f>
        <v>Informática</v>
      </c>
      <c r="N201" t="str">
        <f>VLOOKUP(B201,Clientes!$A$1:$E$101,3,FALSE)</f>
        <v>Santos</v>
      </c>
    </row>
  </sheetData>
  <autoFilter ref="A1:L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workbookViewId="0">
      <pane ySplit="1" topLeftCell="A18" activePane="bottomLeft" state="frozen"/>
      <selection pane="bottomLeft" sqref="A1:F41"/>
    </sheetView>
  </sheetViews>
  <sheetFormatPr defaultRowHeight="14.4" x14ac:dyDescent="0.3"/>
  <cols>
    <col min="1" max="1" width="14" customWidth="1"/>
    <col min="2" max="2" width="12" customWidth="1"/>
    <col min="3" max="3" width="21" customWidth="1"/>
    <col min="4" max="4" width="34" customWidth="1"/>
    <col min="5" max="5" width="22" customWidth="1"/>
    <col min="6" max="6" width="18" customWidth="1"/>
  </cols>
  <sheetData>
    <row r="1" spans="1:6" x14ac:dyDescent="0.3">
      <c r="A1" s="5" t="s">
        <v>105</v>
      </c>
      <c r="B1" s="5" t="s">
        <v>91</v>
      </c>
      <c r="C1" s="5" t="s">
        <v>106</v>
      </c>
      <c r="D1" s="5" t="s">
        <v>107</v>
      </c>
      <c r="E1" s="5" t="s">
        <v>108</v>
      </c>
      <c r="F1" s="5" t="s">
        <v>109</v>
      </c>
    </row>
    <row r="2" spans="1:6" x14ac:dyDescent="0.3">
      <c r="A2">
        <v>1</v>
      </c>
      <c r="B2">
        <v>1094</v>
      </c>
      <c r="C2" s="3">
        <v>46169</v>
      </c>
      <c r="D2" t="s">
        <v>110</v>
      </c>
      <c r="E2">
        <v>1</v>
      </c>
      <c r="F2" t="s">
        <v>111</v>
      </c>
    </row>
    <row r="3" spans="1:6" x14ac:dyDescent="0.3">
      <c r="A3">
        <v>2</v>
      </c>
      <c r="B3">
        <v>1159</v>
      </c>
      <c r="C3" s="3">
        <v>46268</v>
      </c>
      <c r="D3" t="s">
        <v>112</v>
      </c>
      <c r="E3">
        <v>2</v>
      </c>
      <c r="F3" t="s">
        <v>113</v>
      </c>
    </row>
    <row r="4" spans="1:6" x14ac:dyDescent="0.3">
      <c r="A4">
        <v>3</v>
      </c>
      <c r="B4">
        <v>1001</v>
      </c>
      <c r="C4" s="3">
        <v>46032</v>
      </c>
      <c r="D4" t="s">
        <v>114</v>
      </c>
      <c r="E4">
        <v>1</v>
      </c>
      <c r="F4" t="s">
        <v>115</v>
      </c>
    </row>
    <row r="5" spans="1:6" x14ac:dyDescent="0.3">
      <c r="A5">
        <v>4</v>
      </c>
      <c r="B5">
        <v>1139</v>
      </c>
      <c r="C5" s="3">
        <v>46240</v>
      </c>
      <c r="D5" t="s">
        <v>116</v>
      </c>
      <c r="E5">
        <v>2</v>
      </c>
      <c r="F5" t="s">
        <v>111</v>
      </c>
    </row>
    <row r="6" spans="1:6" x14ac:dyDescent="0.3">
      <c r="A6">
        <v>5</v>
      </c>
      <c r="B6">
        <v>1068</v>
      </c>
      <c r="C6" s="3">
        <v>46134</v>
      </c>
      <c r="D6" t="s">
        <v>117</v>
      </c>
      <c r="E6">
        <v>1</v>
      </c>
      <c r="F6" t="s">
        <v>113</v>
      </c>
    </row>
    <row r="7" spans="1:6" x14ac:dyDescent="0.3">
      <c r="A7">
        <v>6</v>
      </c>
      <c r="B7">
        <v>1138</v>
      </c>
      <c r="C7" s="3">
        <v>46240</v>
      </c>
      <c r="D7" t="s">
        <v>110</v>
      </c>
      <c r="E7">
        <v>2</v>
      </c>
      <c r="F7" t="s">
        <v>115</v>
      </c>
    </row>
    <row r="8" spans="1:6" x14ac:dyDescent="0.3">
      <c r="A8">
        <v>7</v>
      </c>
      <c r="B8">
        <v>1169</v>
      </c>
      <c r="C8" s="3">
        <v>46288</v>
      </c>
      <c r="D8" t="s">
        <v>112</v>
      </c>
      <c r="E8">
        <v>1</v>
      </c>
      <c r="F8" t="s">
        <v>111</v>
      </c>
    </row>
    <row r="9" spans="1:6" x14ac:dyDescent="0.3">
      <c r="A9">
        <v>8</v>
      </c>
      <c r="B9">
        <v>1016</v>
      </c>
      <c r="C9" s="3">
        <v>46059</v>
      </c>
      <c r="D9" t="s">
        <v>114</v>
      </c>
      <c r="E9">
        <v>2</v>
      </c>
      <c r="F9" t="s">
        <v>113</v>
      </c>
    </row>
    <row r="10" spans="1:6" x14ac:dyDescent="0.3">
      <c r="A10">
        <v>9</v>
      </c>
      <c r="B10">
        <v>1163</v>
      </c>
      <c r="C10" s="3">
        <v>46273</v>
      </c>
      <c r="D10" t="s">
        <v>116</v>
      </c>
      <c r="E10">
        <v>1</v>
      </c>
      <c r="F10" t="s">
        <v>115</v>
      </c>
    </row>
    <row r="11" spans="1:6" x14ac:dyDescent="0.3">
      <c r="A11">
        <v>10</v>
      </c>
      <c r="B11">
        <v>1084</v>
      </c>
      <c r="C11" s="3">
        <v>46155</v>
      </c>
      <c r="D11" t="s">
        <v>117</v>
      </c>
      <c r="E11">
        <v>2</v>
      </c>
      <c r="F11" t="s">
        <v>111</v>
      </c>
    </row>
    <row r="12" spans="1:6" x14ac:dyDescent="0.3">
      <c r="A12">
        <v>11</v>
      </c>
      <c r="B12">
        <v>1143</v>
      </c>
      <c r="C12" s="3">
        <v>46245</v>
      </c>
      <c r="D12" t="s">
        <v>110</v>
      </c>
      <c r="E12">
        <v>1</v>
      </c>
      <c r="F12" t="s">
        <v>113</v>
      </c>
    </row>
    <row r="13" spans="1:6" x14ac:dyDescent="0.3">
      <c r="A13">
        <v>12</v>
      </c>
      <c r="B13">
        <v>1022</v>
      </c>
      <c r="C13" s="3">
        <v>46064</v>
      </c>
      <c r="D13" t="s">
        <v>112</v>
      </c>
      <c r="E13">
        <v>2</v>
      </c>
      <c r="F13" t="s">
        <v>115</v>
      </c>
    </row>
    <row r="14" spans="1:6" x14ac:dyDescent="0.3">
      <c r="A14">
        <v>13</v>
      </c>
      <c r="B14">
        <v>1178</v>
      </c>
      <c r="C14" s="3">
        <v>46299</v>
      </c>
      <c r="D14" t="s">
        <v>114</v>
      </c>
      <c r="E14">
        <v>1</v>
      </c>
      <c r="F14" t="s">
        <v>111</v>
      </c>
    </row>
    <row r="15" spans="1:6" x14ac:dyDescent="0.3">
      <c r="A15">
        <v>14</v>
      </c>
      <c r="B15">
        <v>1023</v>
      </c>
      <c r="C15" s="3">
        <v>46068</v>
      </c>
      <c r="D15" t="s">
        <v>116</v>
      </c>
      <c r="E15">
        <v>2</v>
      </c>
      <c r="F15" t="s">
        <v>113</v>
      </c>
    </row>
    <row r="16" spans="1:6" x14ac:dyDescent="0.3">
      <c r="A16">
        <v>15</v>
      </c>
      <c r="B16">
        <v>1056</v>
      </c>
      <c r="C16" s="3">
        <v>46118</v>
      </c>
      <c r="D16" t="s">
        <v>117</v>
      </c>
      <c r="E16">
        <v>1</v>
      </c>
      <c r="F16" t="s">
        <v>115</v>
      </c>
    </row>
    <row r="17" spans="1:6" x14ac:dyDescent="0.3">
      <c r="A17">
        <v>16</v>
      </c>
      <c r="B17">
        <v>1153</v>
      </c>
      <c r="C17" s="3">
        <v>46265</v>
      </c>
      <c r="D17" t="s">
        <v>110</v>
      </c>
      <c r="E17">
        <v>2</v>
      </c>
      <c r="F17" t="s">
        <v>111</v>
      </c>
    </row>
    <row r="18" spans="1:6" x14ac:dyDescent="0.3">
      <c r="A18">
        <v>17</v>
      </c>
      <c r="B18">
        <v>1171</v>
      </c>
      <c r="C18" s="3">
        <v>46285</v>
      </c>
      <c r="D18" t="s">
        <v>112</v>
      </c>
      <c r="E18">
        <v>1</v>
      </c>
      <c r="F18" t="s">
        <v>113</v>
      </c>
    </row>
    <row r="19" spans="1:6" x14ac:dyDescent="0.3">
      <c r="A19">
        <v>18</v>
      </c>
      <c r="B19">
        <v>1194</v>
      </c>
      <c r="C19" s="3">
        <v>46320</v>
      </c>
      <c r="D19" t="s">
        <v>114</v>
      </c>
      <c r="E19">
        <v>2</v>
      </c>
      <c r="F19" t="s">
        <v>115</v>
      </c>
    </row>
    <row r="20" spans="1:6" x14ac:dyDescent="0.3">
      <c r="A20">
        <v>19</v>
      </c>
      <c r="B20">
        <v>1089</v>
      </c>
      <c r="C20" s="3">
        <v>46164</v>
      </c>
      <c r="D20" t="s">
        <v>116</v>
      </c>
      <c r="E20">
        <v>1</v>
      </c>
      <c r="F20" t="s">
        <v>111</v>
      </c>
    </row>
    <row r="21" spans="1:6" x14ac:dyDescent="0.3">
      <c r="A21">
        <v>20</v>
      </c>
      <c r="B21">
        <v>1179</v>
      </c>
      <c r="C21" s="3">
        <v>46300</v>
      </c>
      <c r="D21" t="s">
        <v>117</v>
      </c>
      <c r="E21">
        <v>2</v>
      </c>
      <c r="F21" t="s">
        <v>113</v>
      </c>
    </row>
    <row r="22" spans="1:6" x14ac:dyDescent="0.3">
      <c r="A22">
        <v>21</v>
      </c>
      <c r="B22">
        <v>1091</v>
      </c>
      <c r="C22" s="3">
        <v>46169</v>
      </c>
      <c r="D22" t="s">
        <v>110</v>
      </c>
      <c r="E22">
        <v>1</v>
      </c>
      <c r="F22" t="s">
        <v>115</v>
      </c>
    </row>
    <row r="23" spans="1:6" x14ac:dyDescent="0.3">
      <c r="A23">
        <v>22</v>
      </c>
      <c r="B23">
        <v>1136</v>
      </c>
      <c r="C23" s="3">
        <v>46237</v>
      </c>
      <c r="D23" t="s">
        <v>112</v>
      </c>
      <c r="E23">
        <v>2</v>
      </c>
      <c r="F23" t="s">
        <v>111</v>
      </c>
    </row>
    <row r="24" spans="1:6" x14ac:dyDescent="0.3">
      <c r="A24">
        <v>23</v>
      </c>
      <c r="B24">
        <v>1008</v>
      </c>
      <c r="C24" s="3">
        <v>46046</v>
      </c>
      <c r="D24" t="s">
        <v>114</v>
      </c>
      <c r="E24">
        <v>1</v>
      </c>
      <c r="F24" t="s">
        <v>113</v>
      </c>
    </row>
    <row r="25" spans="1:6" x14ac:dyDescent="0.3">
      <c r="A25">
        <v>24</v>
      </c>
      <c r="B25">
        <v>1027</v>
      </c>
      <c r="C25" s="3">
        <v>46076</v>
      </c>
      <c r="D25" t="s">
        <v>116</v>
      </c>
      <c r="E25">
        <v>2</v>
      </c>
      <c r="F25" t="s">
        <v>115</v>
      </c>
    </row>
    <row r="26" spans="1:6" x14ac:dyDescent="0.3">
      <c r="A26">
        <v>25</v>
      </c>
      <c r="B26">
        <v>1100</v>
      </c>
      <c r="C26" s="3">
        <v>46178</v>
      </c>
      <c r="D26" t="s">
        <v>117</v>
      </c>
      <c r="E26">
        <v>1</v>
      </c>
      <c r="F26" t="s">
        <v>111</v>
      </c>
    </row>
    <row r="27" spans="1:6" x14ac:dyDescent="0.3">
      <c r="A27">
        <v>26</v>
      </c>
      <c r="B27">
        <v>1127</v>
      </c>
      <c r="C27" s="3">
        <v>46220</v>
      </c>
      <c r="D27" t="s">
        <v>110</v>
      </c>
      <c r="E27">
        <v>2</v>
      </c>
      <c r="F27" t="s">
        <v>113</v>
      </c>
    </row>
    <row r="28" spans="1:6" x14ac:dyDescent="0.3">
      <c r="A28">
        <v>27</v>
      </c>
      <c r="B28">
        <v>1035</v>
      </c>
      <c r="C28" s="3">
        <v>46083</v>
      </c>
      <c r="D28" t="s">
        <v>112</v>
      </c>
      <c r="E28">
        <v>1</v>
      </c>
      <c r="F28" t="s">
        <v>115</v>
      </c>
    </row>
    <row r="29" spans="1:6" x14ac:dyDescent="0.3">
      <c r="A29">
        <v>28</v>
      </c>
      <c r="B29">
        <v>1120</v>
      </c>
      <c r="C29" s="3">
        <v>46211</v>
      </c>
      <c r="D29" t="s">
        <v>114</v>
      </c>
      <c r="E29">
        <v>2</v>
      </c>
      <c r="F29" t="s">
        <v>111</v>
      </c>
    </row>
    <row r="30" spans="1:6" x14ac:dyDescent="0.3">
      <c r="A30">
        <v>29</v>
      </c>
      <c r="B30">
        <v>1135</v>
      </c>
      <c r="C30" s="3">
        <v>46235</v>
      </c>
      <c r="D30" t="s">
        <v>116</v>
      </c>
      <c r="E30">
        <v>1</v>
      </c>
      <c r="F30" t="s">
        <v>113</v>
      </c>
    </row>
    <row r="31" spans="1:6" x14ac:dyDescent="0.3">
      <c r="A31">
        <v>30</v>
      </c>
      <c r="B31">
        <v>1075</v>
      </c>
      <c r="C31" s="3">
        <v>46146</v>
      </c>
      <c r="D31" t="s">
        <v>117</v>
      </c>
      <c r="E31">
        <v>2</v>
      </c>
      <c r="F31" t="s">
        <v>115</v>
      </c>
    </row>
    <row r="32" spans="1:6" x14ac:dyDescent="0.3">
      <c r="A32">
        <v>31</v>
      </c>
      <c r="B32">
        <v>1013</v>
      </c>
      <c r="C32" s="3">
        <v>46054</v>
      </c>
      <c r="D32" t="s">
        <v>110</v>
      </c>
      <c r="E32">
        <v>1</v>
      </c>
      <c r="F32" t="s">
        <v>111</v>
      </c>
    </row>
    <row r="33" spans="1:6" x14ac:dyDescent="0.3">
      <c r="A33">
        <v>32</v>
      </c>
      <c r="B33">
        <v>1175</v>
      </c>
      <c r="C33" s="3">
        <v>46298</v>
      </c>
      <c r="D33" t="s">
        <v>112</v>
      </c>
      <c r="E33">
        <v>2</v>
      </c>
      <c r="F33" t="s">
        <v>113</v>
      </c>
    </row>
    <row r="34" spans="1:6" x14ac:dyDescent="0.3">
      <c r="A34">
        <v>33</v>
      </c>
      <c r="B34">
        <v>1079</v>
      </c>
      <c r="C34" s="3">
        <v>46147</v>
      </c>
      <c r="D34" t="s">
        <v>114</v>
      </c>
      <c r="E34">
        <v>1</v>
      </c>
      <c r="F34" t="s">
        <v>115</v>
      </c>
    </row>
    <row r="35" spans="1:6" x14ac:dyDescent="0.3">
      <c r="A35">
        <v>34</v>
      </c>
      <c r="B35">
        <v>1116</v>
      </c>
      <c r="C35" s="3">
        <v>46203</v>
      </c>
      <c r="D35" t="s">
        <v>116</v>
      </c>
      <c r="E35">
        <v>2</v>
      </c>
      <c r="F35" t="s">
        <v>111</v>
      </c>
    </row>
    <row r="36" spans="1:6" x14ac:dyDescent="0.3">
      <c r="A36">
        <v>35</v>
      </c>
      <c r="B36">
        <v>1002</v>
      </c>
      <c r="C36" s="3">
        <v>46033</v>
      </c>
      <c r="D36" t="s">
        <v>117</v>
      </c>
      <c r="E36">
        <v>1</v>
      </c>
      <c r="F36" t="s">
        <v>113</v>
      </c>
    </row>
    <row r="37" spans="1:6" x14ac:dyDescent="0.3">
      <c r="A37">
        <v>36</v>
      </c>
      <c r="B37">
        <v>1054</v>
      </c>
      <c r="C37" s="3">
        <v>46112</v>
      </c>
      <c r="D37" t="s">
        <v>110</v>
      </c>
      <c r="E37">
        <v>2</v>
      </c>
      <c r="F37" t="s">
        <v>115</v>
      </c>
    </row>
    <row r="38" spans="1:6" x14ac:dyDescent="0.3">
      <c r="A38">
        <v>37</v>
      </c>
      <c r="B38">
        <v>1177</v>
      </c>
      <c r="C38" s="3">
        <v>46298</v>
      </c>
      <c r="D38" t="s">
        <v>112</v>
      </c>
      <c r="E38">
        <v>1</v>
      </c>
      <c r="F38" t="s">
        <v>111</v>
      </c>
    </row>
    <row r="39" spans="1:6" x14ac:dyDescent="0.3">
      <c r="A39">
        <v>38</v>
      </c>
      <c r="B39">
        <v>1046</v>
      </c>
      <c r="C39" s="3">
        <v>46102</v>
      </c>
      <c r="D39" t="s">
        <v>114</v>
      </c>
      <c r="E39">
        <v>2</v>
      </c>
      <c r="F39" t="s">
        <v>113</v>
      </c>
    </row>
    <row r="40" spans="1:6" x14ac:dyDescent="0.3">
      <c r="A40">
        <v>39</v>
      </c>
      <c r="B40">
        <v>1031</v>
      </c>
      <c r="C40" s="3">
        <v>46081</v>
      </c>
      <c r="D40" t="s">
        <v>116</v>
      </c>
      <c r="E40">
        <v>1</v>
      </c>
      <c r="F40" t="s">
        <v>115</v>
      </c>
    </row>
    <row r="41" spans="1:6" x14ac:dyDescent="0.3">
      <c r="A41">
        <v>40</v>
      </c>
      <c r="B41">
        <v>1124</v>
      </c>
      <c r="C41" s="3">
        <v>46221</v>
      </c>
      <c r="D41" t="s">
        <v>117</v>
      </c>
      <c r="E41">
        <v>2</v>
      </c>
      <c r="F41" t="s">
        <v>111</v>
      </c>
    </row>
  </sheetData>
  <autoFilter ref="A1:F41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31A64-B31C-4A97-ADA1-1A9F726B1699}">
  <dimension ref="A1:U141"/>
  <sheetViews>
    <sheetView tabSelected="1" topLeftCell="K1" zoomScale="119" zoomScaleNormal="119" workbookViewId="0">
      <selection activeCell="Q11" sqref="Q11"/>
    </sheetView>
  </sheetViews>
  <sheetFormatPr defaultRowHeight="14.4" x14ac:dyDescent="0.3"/>
  <cols>
    <col min="1" max="1" width="13.88671875" customWidth="1"/>
    <col min="2" max="2" width="14.88671875" customWidth="1"/>
    <col min="3" max="3" width="11.6640625" bestFit="1" customWidth="1"/>
    <col min="4" max="4" width="19" bestFit="1" customWidth="1"/>
    <col min="5" max="5" width="15.5546875" customWidth="1"/>
    <col min="6" max="6" width="12.88671875" bestFit="1" customWidth="1"/>
    <col min="7" max="7" width="14.88671875" customWidth="1"/>
    <col min="8" max="8" width="17.109375" customWidth="1"/>
    <col min="9" max="9" width="9.33203125" customWidth="1"/>
    <col min="10" max="10" width="10.88671875" bestFit="1" customWidth="1"/>
    <col min="11" max="11" width="21.88671875" bestFit="1" customWidth="1"/>
    <col min="12" max="12" width="8.21875" bestFit="1" customWidth="1"/>
    <col min="13" max="13" width="21" bestFit="1" customWidth="1"/>
    <col min="14" max="14" width="14.77734375" bestFit="1" customWidth="1"/>
    <col min="15" max="15" width="8.21875" bestFit="1" customWidth="1"/>
    <col min="16" max="16" width="30.44140625" bestFit="1" customWidth="1"/>
    <col min="17" max="17" width="19.77734375" bestFit="1" customWidth="1"/>
    <col min="18" max="18" width="10.21875" bestFit="1" customWidth="1"/>
    <col min="19" max="19" width="9.6640625" bestFit="1" customWidth="1"/>
    <col min="20" max="20" width="10.5546875" bestFit="1" customWidth="1"/>
    <col min="21" max="21" width="18.44140625" customWidth="1"/>
    <col min="22" max="22" width="10.5546875" bestFit="1" customWidth="1"/>
    <col min="23" max="56" width="5" bestFit="1" customWidth="1"/>
    <col min="57" max="57" width="10.5546875" bestFit="1" customWidth="1"/>
    <col min="58" max="78" width="9.21875" bestFit="1" customWidth="1"/>
    <col min="79" max="127" width="10.77734375" bestFit="1" customWidth="1"/>
    <col min="128" max="128" width="10.33203125" bestFit="1" customWidth="1"/>
    <col min="129" max="210" width="10.77734375" bestFit="1" customWidth="1"/>
    <col min="211" max="211" width="12.6640625" bestFit="1" customWidth="1"/>
  </cols>
  <sheetData>
    <row r="1" spans="1:21" x14ac:dyDescent="0.3">
      <c r="A1" s="13" t="s">
        <v>95</v>
      </c>
      <c r="B1" s="7" t="s">
        <v>100</v>
      </c>
      <c r="D1" s="13" t="s">
        <v>180</v>
      </c>
      <c r="E1" s="13" t="s">
        <v>144</v>
      </c>
      <c r="F1" s="18"/>
      <c r="G1" s="18"/>
      <c r="H1" s="18"/>
      <c r="J1" s="13" t="s">
        <v>95</v>
      </c>
      <c r="K1" s="7" t="s">
        <v>100</v>
      </c>
      <c r="M1" s="15" t="s">
        <v>190</v>
      </c>
      <c r="N1" s="15"/>
      <c r="P1" s="15" t="s">
        <v>189</v>
      </c>
      <c r="Q1" s="15"/>
      <c r="R1" s="15"/>
      <c r="S1" s="15"/>
      <c r="T1" s="15"/>
    </row>
    <row r="2" spans="1:21" x14ac:dyDescent="0.3">
      <c r="D2" s="7" t="s">
        <v>142</v>
      </c>
      <c r="E2" s="7" t="s">
        <v>104</v>
      </c>
      <c r="F2" s="7" t="s">
        <v>102</v>
      </c>
      <c r="G2" s="7" t="s">
        <v>100</v>
      </c>
      <c r="H2" s="7" t="s">
        <v>129</v>
      </c>
      <c r="J2" s="15" t="s">
        <v>179</v>
      </c>
      <c r="K2" s="15"/>
      <c r="M2" s="13" t="s">
        <v>186</v>
      </c>
      <c r="N2" s="7" t="s">
        <v>182</v>
      </c>
      <c r="P2" s="13" t="s">
        <v>187</v>
      </c>
      <c r="Q2" s="13" t="s">
        <v>95</v>
      </c>
      <c r="R2" s="13"/>
      <c r="S2" s="13"/>
      <c r="T2" s="13"/>
    </row>
    <row r="3" spans="1:21" x14ac:dyDescent="0.3">
      <c r="A3" s="7" t="s">
        <v>130</v>
      </c>
      <c r="B3" s="7" t="s">
        <v>131</v>
      </c>
      <c r="D3" s="6" t="s">
        <v>132</v>
      </c>
      <c r="E3" s="21">
        <v>1012</v>
      </c>
      <c r="F3" s="21">
        <v>10112</v>
      </c>
      <c r="G3" s="21">
        <v>10107</v>
      </c>
      <c r="H3" s="21">
        <v>21231</v>
      </c>
      <c r="J3" s="14" t="s">
        <v>148</v>
      </c>
      <c r="K3" s="14" t="s">
        <v>131</v>
      </c>
      <c r="M3" s="6" t="s">
        <v>25</v>
      </c>
      <c r="N3" s="21">
        <v>25</v>
      </c>
      <c r="P3" s="13" t="s">
        <v>188</v>
      </c>
      <c r="Q3" s="7" t="s">
        <v>115</v>
      </c>
      <c r="R3" s="7" t="s">
        <v>113</v>
      </c>
      <c r="S3" s="7" t="s">
        <v>111</v>
      </c>
      <c r="T3" s="7" t="s">
        <v>129</v>
      </c>
      <c r="U3" s="25" t="s">
        <v>191</v>
      </c>
    </row>
    <row r="4" spans="1:21" x14ac:dyDescent="0.3">
      <c r="A4" s="19">
        <v>1113</v>
      </c>
      <c r="B4" s="20">
        <v>7000</v>
      </c>
      <c r="D4" s="6" t="s">
        <v>133</v>
      </c>
      <c r="E4" s="21"/>
      <c r="F4" s="21">
        <v>2066</v>
      </c>
      <c r="G4" s="21">
        <v>17523</v>
      </c>
      <c r="H4" s="21">
        <v>19589</v>
      </c>
      <c r="J4" s="19" t="s">
        <v>58</v>
      </c>
      <c r="K4" s="20">
        <v>84923.959999999992</v>
      </c>
      <c r="M4" s="6" t="s">
        <v>21</v>
      </c>
      <c r="N4" s="21">
        <v>21</v>
      </c>
      <c r="P4" s="6" t="s">
        <v>114</v>
      </c>
      <c r="Q4" s="21">
        <v>3</v>
      </c>
      <c r="R4" s="21">
        <v>3</v>
      </c>
      <c r="S4" s="21">
        <v>2</v>
      </c>
      <c r="T4" s="21">
        <v>8</v>
      </c>
      <c r="U4" s="12"/>
    </row>
    <row r="5" spans="1:21" x14ac:dyDescent="0.3">
      <c r="A5" s="6">
        <v>1119</v>
      </c>
      <c r="B5" s="2">
        <v>4400</v>
      </c>
      <c r="D5" s="6" t="s">
        <v>134</v>
      </c>
      <c r="E5" s="21">
        <v>2096</v>
      </c>
      <c r="F5" s="21">
        <v>4203</v>
      </c>
      <c r="G5" s="21">
        <v>14711</v>
      </c>
      <c r="H5" s="21">
        <v>21010</v>
      </c>
      <c r="J5" s="6" t="s">
        <v>63</v>
      </c>
      <c r="K5" s="2">
        <v>31395.399999999998</v>
      </c>
      <c r="M5" s="6" t="s">
        <v>13</v>
      </c>
      <c r="N5" s="21">
        <v>21</v>
      </c>
      <c r="P5" s="6" t="s">
        <v>117</v>
      </c>
      <c r="Q5" s="21">
        <v>2</v>
      </c>
      <c r="R5" s="21">
        <v>3</v>
      </c>
      <c r="S5" s="21">
        <v>3</v>
      </c>
      <c r="T5" s="21">
        <v>8</v>
      </c>
      <c r="U5" s="12"/>
    </row>
    <row r="6" spans="1:21" x14ac:dyDescent="0.3">
      <c r="A6" s="6">
        <v>1005</v>
      </c>
      <c r="B6" s="2">
        <v>3780</v>
      </c>
      <c r="D6" s="6" t="s">
        <v>135</v>
      </c>
      <c r="E6" s="21">
        <v>1063</v>
      </c>
      <c r="F6" s="21">
        <v>4285</v>
      </c>
      <c r="G6" s="21">
        <v>16062</v>
      </c>
      <c r="H6" s="21">
        <v>21410</v>
      </c>
      <c r="J6" s="6" t="s">
        <v>66</v>
      </c>
      <c r="K6" s="2">
        <v>30322.400000000001</v>
      </c>
      <c r="M6" s="6" t="s">
        <v>10</v>
      </c>
      <c r="N6" s="21">
        <v>20</v>
      </c>
      <c r="P6" s="6" t="s">
        <v>110</v>
      </c>
      <c r="Q6" s="21">
        <v>3</v>
      </c>
      <c r="R6" s="21">
        <v>2</v>
      </c>
      <c r="S6" s="21">
        <v>3</v>
      </c>
      <c r="T6" s="21">
        <v>8</v>
      </c>
      <c r="U6" s="12"/>
    </row>
    <row r="7" spans="1:21" x14ac:dyDescent="0.3">
      <c r="A7" s="6">
        <v>1167</v>
      </c>
      <c r="B7" s="2">
        <v>3744</v>
      </c>
      <c r="D7" s="6" t="s">
        <v>136</v>
      </c>
      <c r="E7" s="21">
        <v>1097</v>
      </c>
      <c r="F7" s="21">
        <v>1090</v>
      </c>
      <c r="G7" s="21">
        <v>20724</v>
      </c>
      <c r="H7" s="21">
        <v>22911</v>
      </c>
      <c r="J7" s="6" t="s">
        <v>70</v>
      </c>
      <c r="K7" s="2">
        <v>2355.7999999999997</v>
      </c>
      <c r="M7" s="6" t="s">
        <v>23</v>
      </c>
      <c r="N7" s="21">
        <v>13</v>
      </c>
      <c r="P7" s="6" t="s">
        <v>112</v>
      </c>
      <c r="Q7" s="21">
        <v>2</v>
      </c>
      <c r="R7" s="21">
        <v>3</v>
      </c>
      <c r="S7" s="21">
        <v>3</v>
      </c>
      <c r="T7" s="21">
        <v>8</v>
      </c>
      <c r="U7" s="12"/>
    </row>
    <row r="8" spans="1:21" x14ac:dyDescent="0.3">
      <c r="A8" s="6">
        <v>1049</v>
      </c>
      <c r="B8" s="2">
        <v>3693.6</v>
      </c>
      <c r="D8" s="17" t="s">
        <v>137</v>
      </c>
      <c r="E8" s="24">
        <v>3314</v>
      </c>
      <c r="F8" s="24">
        <v>2232</v>
      </c>
      <c r="G8" s="24">
        <v>16684</v>
      </c>
      <c r="H8" s="24">
        <v>22230</v>
      </c>
      <c r="J8" s="8" t="s">
        <v>129</v>
      </c>
      <c r="K8" s="9">
        <v>148997.56</v>
      </c>
      <c r="M8" s="6" t="s">
        <v>6</v>
      </c>
      <c r="N8" s="21">
        <v>12</v>
      </c>
      <c r="P8" s="6" t="s">
        <v>116</v>
      </c>
      <c r="Q8" s="21">
        <v>3</v>
      </c>
      <c r="R8" s="21">
        <v>2</v>
      </c>
      <c r="S8" s="21">
        <v>3</v>
      </c>
      <c r="T8" s="21">
        <v>8</v>
      </c>
      <c r="U8" s="12"/>
    </row>
    <row r="9" spans="1:21" x14ac:dyDescent="0.3">
      <c r="A9" s="6">
        <v>1056</v>
      </c>
      <c r="B9" s="2">
        <v>3420</v>
      </c>
      <c r="D9" s="6" t="s">
        <v>138</v>
      </c>
      <c r="E9" s="21">
        <v>3403</v>
      </c>
      <c r="F9" s="21">
        <v>11308</v>
      </c>
      <c r="G9" s="21">
        <v>9061</v>
      </c>
      <c r="H9" s="21">
        <v>23772</v>
      </c>
      <c r="M9" s="6" t="s">
        <v>17</v>
      </c>
      <c r="N9" s="21">
        <v>12</v>
      </c>
      <c r="P9" s="8" t="s">
        <v>129</v>
      </c>
      <c r="Q9" s="8">
        <v>13</v>
      </c>
      <c r="R9" s="8">
        <v>13</v>
      </c>
      <c r="S9" s="8">
        <v>14</v>
      </c>
      <c r="T9" s="8">
        <v>40</v>
      </c>
      <c r="U9" s="26">
        <f>AVERAGE(T4:T8)</f>
        <v>8</v>
      </c>
    </row>
    <row r="10" spans="1:21" x14ac:dyDescent="0.3">
      <c r="A10" s="6">
        <v>1074</v>
      </c>
      <c r="B10" s="2">
        <v>3300</v>
      </c>
      <c r="D10" s="6" t="s">
        <v>139</v>
      </c>
      <c r="E10" s="21">
        <v>3448</v>
      </c>
      <c r="F10" s="21">
        <v>4621</v>
      </c>
      <c r="G10" s="21">
        <v>14981</v>
      </c>
      <c r="H10" s="21">
        <v>23050</v>
      </c>
      <c r="M10" s="6" t="s">
        <v>19</v>
      </c>
      <c r="N10" s="21">
        <v>12</v>
      </c>
    </row>
    <row r="11" spans="1:21" x14ac:dyDescent="0.3">
      <c r="A11" s="6">
        <v>1059</v>
      </c>
      <c r="B11" s="2">
        <v>3240</v>
      </c>
      <c r="D11" s="6" t="s">
        <v>140</v>
      </c>
      <c r="E11" s="21">
        <v>1180</v>
      </c>
      <c r="F11" s="21">
        <v>5863</v>
      </c>
      <c r="G11" s="21">
        <v>16407</v>
      </c>
      <c r="H11" s="21">
        <v>23450</v>
      </c>
      <c r="J11" s="15" t="s">
        <v>183</v>
      </c>
      <c r="K11" s="15"/>
      <c r="M11" s="6" t="s">
        <v>35</v>
      </c>
      <c r="N11" s="21">
        <v>11</v>
      </c>
      <c r="Q11" s="27"/>
    </row>
    <row r="12" spans="1:21" x14ac:dyDescent="0.3">
      <c r="A12" s="6">
        <v>1058</v>
      </c>
      <c r="B12" s="2">
        <v>3016</v>
      </c>
      <c r="D12" s="6" t="s">
        <v>141</v>
      </c>
      <c r="E12" s="21">
        <v>3561</v>
      </c>
      <c r="F12" s="21">
        <v>3558</v>
      </c>
      <c r="G12" s="21">
        <v>14328</v>
      </c>
      <c r="H12" s="21">
        <v>21447</v>
      </c>
      <c r="J12" s="14" t="s">
        <v>148</v>
      </c>
      <c r="K12" s="14" t="s">
        <v>182</v>
      </c>
      <c r="M12" s="6" t="s">
        <v>15</v>
      </c>
      <c r="N12" s="21">
        <v>11</v>
      </c>
    </row>
    <row r="13" spans="1:21" x14ac:dyDescent="0.3">
      <c r="A13" s="6">
        <v>1193</v>
      </c>
      <c r="B13" s="2">
        <v>2975</v>
      </c>
      <c r="D13" s="11" t="s">
        <v>129</v>
      </c>
      <c r="E13" s="23">
        <v>20174</v>
      </c>
      <c r="F13" s="23">
        <v>49338</v>
      </c>
      <c r="G13" s="23">
        <v>150588</v>
      </c>
      <c r="H13" s="23">
        <v>220100</v>
      </c>
      <c r="J13" s="6" t="s">
        <v>104</v>
      </c>
      <c r="K13" s="21">
        <v>18</v>
      </c>
      <c r="M13" s="6" t="s">
        <v>37</v>
      </c>
      <c r="N13" s="21">
        <v>10</v>
      </c>
    </row>
    <row r="14" spans="1:21" x14ac:dyDescent="0.3">
      <c r="A14" s="6">
        <v>1152</v>
      </c>
      <c r="B14" s="2">
        <v>2850</v>
      </c>
      <c r="J14" s="6" t="s">
        <v>102</v>
      </c>
      <c r="K14" s="21">
        <v>45</v>
      </c>
      <c r="M14" s="6" t="s">
        <v>31</v>
      </c>
      <c r="N14" s="21">
        <v>9</v>
      </c>
    </row>
    <row r="15" spans="1:21" x14ac:dyDescent="0.3">
      <c r="A15" s="6">
        <v>1108</v>
      </c>
      <c r="B15" s="2">
        <v>2754</v>
      </c>
      <c r="J15" s="6" t="s">
        <v>100</v>
      </c>
      <c r="K15" s="21">
        <v>137</v>
      </c>
      <c r="M15" s="6" t="s">
        <v>27</v>
      </c>
      <c r="N15" s="21">
        <v>9</v>
      </c>
    </row>
    <row r="16" spans="1:21" x14ac:dyDescent="0.3">
      <c r="A16" s="6">
        <v>1034</v>
      </c>
      <c r="B16" s="2">
        <v>2688</v>
      </c>
      <c r="J16" s="8" t="s">
        <v>129</v>
      </c>
      <c r="K16" s="22">
        <v>200</v>
      </c>
      <c r="M16" s="6" t="s">
        <v>29</v>
      </c>
      <c r="N16" s="21">
        <v>9</v>
      </c>
    </row>
    <row r="17" spans="1:14" x14ac:dyDescent="0.3">
      <c r="A17" s="6">
        <v>1149</v>
      </c>
      <c r="B17" s="2">
        <v>2592</v>
      </c>
      <c r="M17" s="6" t="s">
        <v>33</v>
      </c>
      <c r="N17" s="21">
        <v>5</v>
      </c>
    </row>
    <row r="18" spans="1:14" x14ac:dyDescent="0.3">
      <c r="A18" s="6">
        <v>1039</v>
      </c>
      <c r="B18" s="2">
        <v>2592</v>
      </c>
      <c r="M18" s="8" t="s">
        <v>129</v>
      </c>
      <c r="N18" s="22">
        <v>200</v>
      </c>
    </row>
    <row r="19" spans="1:14" x14ac:dyDescent="0.3">
      <c r="A19" s="6">
        <v>1094</v>
      </c>
      <c r="B19" s="2">
        <v>2592</v>
      </c>
      <c r="J19" s="13" t="s">
        <v>145</v>
      </c>
      <c r="K19" s="7" t="s">
        <v>128</v>
      </c>
    </row>
    <row r="20" spans="1:14" x14ac:dyDescent="0.3">
      <c r="A20" s="6">
        <v>1187</v>
      </c>
      <c r="B20" s="2">
        <v>2332.8000000000002</v>
      </c>
      <c r="J20" s="15" t="s">
        <v>184</v>
      </c>
      <c r="K20" s="15"/>
    </row>
    <row r="21" spans="1:14" x14ac:dyDescent="0.3">
      <c r="A21" s="6">
        <v>1065</v>
      </c>
      <c r="B21" s="2">
        <v>2200</v>
      </c>
      <c r="J21" s="14" t="s">
        <v>148</v>
      </c>
      <c r="K21" s="14" t="s">
        <v>181</v>
      </c>
    </row>
    <row r="22" spans="1:14" x14ac:dyDescent="0.3">
      <c r="A22" s="6">
        <v>1114</v>
      </c>
      <c r="B22" s="2">
        <v>2200</v>
      </c>
      <c r="J22" s="6" t="s">
        <v>132</v>
      </c>
      <c r="K22" s="21">
        <v>21</v>
      </c>
    </row>
    <row r="23" spans="1:14" x14ac:dyDescent="0.3">
      <c r="A23" s="6">
        <v>1020</v>
      </c>
      <c r="B23" s="2">
        <v>2173.6</v>
      </c>
      <c r="J23" s="6" t="s">
        <v>133</v>
      </c>
      <c r="K23" s="21">
        <v>19</v>
      </c>
    </row>
    <row r="24" spans="1:14" x14ac:dyDescent="0.3">
      <c r="A24" s="6">
        <v>1050</v>
      </c>
      <c r="B24" s="2">
        <v>1976</v>
      </c>
      <c r="J24" s="6" t="s">
        <v>134</v>
      </c>
      <c r="K24" s="21">
        <v>20</v>
      </c>
    </row>
    <row r="25" spans="1:14" x14ac:dyDescent="0.3">
      <c r="A25" s="6">
        <v>1054</v>
      </c>
      <c r="B25" s="2">
        <v>1872</v>
      </c>
      <c r="J25" s="6" t="s">
        <v>135</v>
      </c>
      <c r="K25" s="21">
        <v>20</v>
      </c>
    </row>
    <row r="26" spans="1:14" x14ac:dyDescent="0.3">
      <c r="A26" s="6">
        <v>1088</v>
      </c>
      <c r="B26" s="2">
        <v>1808.8</v>
      </c>
      <c r="J26" s="6" t="s">
        <v>136</v>
      </c>
      <c r="K26" s="21">
        <v>21</v>
      </c>
    </row>
    <row r="27" spans="1:14" x14ac:dyDescent="0.3">
      <c r="A27" s="6">
        <v>1023</v>
      </c>
      <c r="B27" s="2">
        <v>1778.4</v>
      </c>
      <c r="J27" s="6" t="s">
        <v>137</v>
      </c>
      <c r="K27" s="21">
        <v>20</v>
      </c>
    </row>
    <row r="28" spans="1:14" x14ac:dyDescent="0.3">
      <c r="A28" s="6">
        <v>1120</v>
      </c>
      <c r="B28" s="2">
        <v>1679.6</v>
      </c>
      <c r="J28" s="6" t="s">
        <v>138</v>
      </c>
      <c r="K28" s="21">
        <v>21</v>
      </c>
    </row>
    <row r="29" spans="1:14" x14ac:dyDescent="0.3">
      <c r="A29" s="6">
        <v>1141</v>
      </c>
      <c r="B29" s="2">
        <v>1591.2</v>
      </c>
      <c r="J29" s="6" t="s">
        <v>139</v>
      </c>
      <c r="K29" s="21">
        <v>20</v>
      </c>
    </row>
    <row r="30" spans="1:14" x14ac:dyDescent="0.3">
      <c r="A30" s="6">
        <v>1099</v>
      </c>
      <c r="B30" s="2">
        <v>1508</v>
      </c>
      <c r="J30" s="6" t="s">
        <v>140</v>
      </c>
      <c r="K30" s="21">
        <v>20</v>
      </c>
    </row>
    <row r="31" spans="1:14" x14ac:dyDescent="0.3">
      <c r="A31" s="6">
        <v>1084</v>
      </c>
      <c r="B31" s="2">
        <v>1458</v>
      </c>
      <c r="D31" s="13" t="s">
        <v>95</v>
      </c>
      <c r="E31" s="7" t="s">
        <v>100</v>
      </c>
      <c r="J31" s="6" t="s">
        <v>141</v>
      </c>
      <c r="K31" s="21">
        <v>18</v>
      </c>
    </row>
    <row r="32" spans="1:14" x14ac:dyDescent="0.3">
      <c r="A32" s="6">
        <v>1001</v>
      </c>
      <c r="B32" s="2">
        <v>1456</v>
      </c>
      <c r="D32" s="15" t="s">
        <v>147</v>
      </c>
      <c r="E32" s="15"/>
      <c r="J32" s="8" t="s">
        <v>129</v>
      </c>
      <c r="K32" s="22">
        <v>200</v>
      </c>
    </row>
    <row r="33" spans="1:5" x14ac:dyDescent="0.3">
      <c r="A33" s="6">
        <v>1133</v>
      </c>
      <c r="B33" s="2">
        <v>1450</v>
      </c>
      <c r="D33" s="14" t="s">
        <v>146</v>
      </c>
      <c r="E33" s="14" t="s">
        <v>143</v>
      </c>
    </row>
    <row r="34" spans="1:5" x14ac:dyDescent="0.3">
      <c r="A34" s="6">
        <v>1098</v>
      </c>
      <c r="B34" s="2">
        <v>1436.4</v>
      </c>
      <c r="D34" s="6" t="s">
        <v>101</v>
      </c>
      <c r="E34" s="2">
        <v>31496.82</v>
      </c>
    </row>
    <row r="35" spans="1:5" x14ac:dyDescent="0.3">
      <c r="A35" s="6">
        <v>1016</v>
      </c>
      <c r="B35" s="2">
        <v>1432.6</v>
      </c>
      <c r="D35" s="6" t="s">
        <v>99</v>
      </c>
      <c r="E35" s="2">
        <v>40936.78</v>
      </c>
    </row>
    <row r="36" spans="1:5" x14ac:dyDescent="0.3">
      <c r="A36" s="6">
        <v>1007</v>
      </c>
      <c r="B36" s="2">
        <v>1409.4</v>
      </c>
      <c r="D36" s="6" t="s">
        <v>103</v>
      </c>
      <c r="E36" s="2">
        <v>76563.959999999977</v>
      </c>
    </row>
    <row r="37" spans="1:5" x14ac:dyDescent="0.3">
      <c r="A37" s="6">
        <v>1102</v>
      </c>
      <c r="B37" s="2">
        <v>1404</v>
      </c>
      <c r="D37" s="11" t="s">
        <v>129</v>
      </c>
      <c r="E37" s="10">
        <v>148997.56</v>
      </c>
    </row>
    <row r="38" spans="1:5" x14ac:dyDescent="0.3">
      <c r="A38" s="6">
        <v>1190</v>
      </c>
      <c r="B38" s="2">
        <v>1404</v>
      </c>
    </row>
    <row r="39" spans="1:5" x14ac:dyDescent="0.3">
      <c r="A39" s="6">
        <v>1077</v>
      </c>
      <c r="B39" s="2">
        <v>1352</v>
      </c>
    </row>
    <row r="40" spans="1:5" x14ac:dyDescent="0.3">
      <c r="A40" s="6">
        <v>1055</v>
      </c>
      <c r="B40" s="2">
        <v>1350</v>
      </c>
    </row>
    <row r="41" spans="1:5" x14ac:dyDescent="0.3">
      <c r="A41" s="6">
        <v>1165</v>
      </c>
      <c r="B41" s="2">
        <v>1305</v>
      </c>
    </row>
    <row r="42" spans="1:5" x14ac:dyDescent="0.3">
      <c r="A42" s="6">
        <v>1013</v>
      </c>
      <c r="B42" s="2">
        <v>1300</v>
      </c>
    </row>
    <row r="43" spans="1:5" x14ac:dyDescent="0.3">
      <c r="A43" s="6">
        <v>1179</v>
      </c>
      <c r="B43" s="2">
        <v>1296</v>
      </c>
    </row>
    <row r="44" spans="1:5" x14ac:dyDescent="0.3">
      <c r="A44" s="6">
        <v>1085</v>
      </c>
      <c r="B44" s="2">
        <v>1296</v>
      </c>
    </row>
    <row r="45" spans="1:5" x14ac:dyDescent="0.3">
      <c r="A45" s="6">
        <v>1041</v>
      </c>
      <c r="B45" s="2">
        <v>1296</v>
      </c>
    </row>
    <row r="46" spans="1:5" x14ac:dyDescent="0.3">
      <c r="A46" s="6">
        <v>1155</v>
      </c>
      <c r="B46" s="2">
        <v>1296</v>
      </c>
    </row>
    <row r="47" spans="1:5" x14ac:dyDescent="0.3">
      <c r="A47" s="6">
        <v>1038</v>
      </c>
      <c r="B47" s="2">
        <v>1296</v>
      </c>
    </row>
    <row r="48" spans="1:5" x14ac:dyDescent="0.3">
      <c r="A48" s="6">
        <v>1171</v>
      </c>
      <c r="B48" s="2">
        <v>1248</v>
      </c>
    </row>
    <row r="49" spans="1:2" x14ac:dyDescent="0.3">
      <c r="A49" s="6">
        <v>1100</v>
      </c>
      <c r="B49" s="2">
        <v>1235</v>
      </c>
    </row>
    <row r="50" spans="1:2" x14ac:dyDescent="0.3">
      <c r="A50" s="6">
        <v>1081</v>
      </c>
      <c r="B50" s="2">
        <v>1231.2</v>
      </c>
    </row>
    <row r="51" spans="1:2" x14ac:dyDescent="0.3">
      <c r="A51" s="6">
        <v>1195</v>
      </c>
      <c r="B51" s="2">
        <v>1231.2</v>
      </c>
    </row>
    <row r="52" spans="1:2" x14ac:dyDescent="0.3">
      <c r="A52" s="6">
        <v>1087</v>
      </c>
      <c r="B52" s="2">
        <v>1215</v>
      </c>
    </row>
    <row r="53" spans="1:2" x14ac:dyDescent="0.3">
      <c r="A53" s="6">
        <v>1061</v>
      </c>
      <c r="B53" s="2">
        <v>1209.5999999999999</v>
      </c>
    </row>
    <row r="54" spans="1:2" x14ac:dyDescent="0.3">
      <c r="A54" s="6">
        <v>1021</v>
      </c>
      <c r="B54" s="2">
        <v>1200</v>
      </c>
    </row>
    <row r="55" spans="1:2" x14ac:dyDescent="0.3">
      <c r="A55" s="6">
        <v>1073</v>
      </c>
      <c r="B55" s="2">
        <v>1200</v>
      </c>
    </row>
    <row r="56" spans="1:2" x14ac:dyDescent="0.3">
      <c r="A56" s="6">
        <v>1062</v>
      </c>
      <c r="B56" s="2">
        <v>1185.5999999999999</v>
      </c>
    </row>
    <row r="57" spans="1:2" x14ac:dyDescent="0.3">
      <c r="A57" s="6">
        <v>1191</v>
      </c>
      <c r="B57" s="2">
        <v>1166.4000000000001</v>
      </c>
    </row>
    <row r="58" spans="1:2" x14ac:dyDescent="0.3">
      <c r="A58" s="6">
        <v>1169</v>
      </c>
      <c r="B58" s="2">
        <v>1144</v>
      </c>
    </row>
    <row r="59" spans="1:2" x14ac:dyDescent="0.3">
      <c r="A59" s="6">
        <v>1181</v>
      </c>
      <c r="B59" s="2">
        <v>1100</v>
      </c>
    </row>
    <row r="60" spans="1:2" x14ac:dyDescent="0.3">
      <c r="A60" s="6">
        <v>1188</v>
      </c>
      <c r="B60" s="2">
        <v>1080</v>
      </c>
    </row>
    <row r="61" spans="1:2" x14ac:dyDescent="0.3">
      <c r="A61" s="6">
        <v>1162</v>
      </c>
      <c r="B61" s="2">
        <v>1047.2</v>
      </c>
    </row>
    <row r="62" spans="1:2" x14ac:dyDescent="0.3">
      <c r="A62" s="6">
        <v>1178</v>
      </c>
      <c r="B62" s="2">
        <v>1040</v>
      </c>
    </row>
    <row r="63" spans="1:2" x14ac:dyDescent="0.3">
      <c r="A63" s="6">
        <v>1143</v>
      </c>
      <c r="B63" s="2">
        <v>957.6</v>
      </c>
    </row>
    <row r="64" spans="1:2" x14ac:dyDescent="0.3">
      <c r="A64" s="6">
        <v>1110</v>
      </c>
      <c r="B64" s="2">
        <v>933.12</v>
      </c>
    </row>
    <row r="65" spans="1:2" x14ac:dyDescent="0.3">
      <c r="A65" s="6">
        <v>1153</v>
      </c>
      <c r="B65" s="2">
        <v>923.4</v>
      </c>
    </row>
    <row r="66" spans="1:2" x14ac:dyDescent="0.3">
      <c r="A66" s="6">
        <v>1091</v>
      </c>
      <c r="B66" s="2">
        <v>907.2</v>
      </c>
    </row>
    <row r="67" spans="1:2" x14ac:dyDescent="0.3">
      <c r="A67" s="6">
        <v>1111</v>
      </c>
      <c r="B67" s="2">
        <v>902.5</v>
      </c>
    </row>
    <row r="68" spans="1:2" x14ac:dyDescent="0.3">
      <c r="A68" s="6">
        <v>1154</v>
      </c>
      <c r="B68" s="2">
        <v>900</v>
      </c>
    </row>
    <row r="69" spans="1:2" x14ac:dyDescent="0.3">
      <c r="A69" s="6">
        <v>1121</v>
      </c>
      <c r="B69" s="2">
        <v>884</v>
      </c>
    </row>
    <row r="70" spans="1:2" x14ac:dyDescent="0.3">
      <c r="A70" s="6">
        <v>1148</v>
      </c>
      <c r="B70" s="2">
        <v>850</v>
      </c>
    </row>
    <row r="71" spans="1:2" x14ac:dyDescent="0.3">
      <c r="A71" s="6">
        <v>1082</v>
      </c>
      <c r="B71" s="2">
        <v>842.4</v>
      </c>
    </row>
    <row r="72" spans="1:2" x14ac:dyDescent="0.3">
      <c r="A72" s="6">
        <v>1067</v>
      </c>
      <c r="B72" s="2">
        <v>839.8</v>
      </c>
    </row>
    <row r="73" spans="1:2" x14ac:dyDescent="0.3">
      <c r="A73" s="6">
        <v>1199</v>
      </c>
      <c r="B73" s="2">
        <v>816.48</v>
      </c>
    </row>
    <row r="74" spans="1:2" x14ac:dyDescent="0.3">
      <c r="A74" s="6">
        <v>1046</v>
      </c>
      <c r="B74" s="2">
        <v>811.2</v>
      </c>
    </row>
    <row r="75" spans="1:2" x14ac:dyDescent="0.3">
      <c r="A75" s="6">
        <v>1014</v>
      </c>
      <c r="B75" s="2">
        <v>720</v>
      </c>
    </row>
    <row r="76" spans="1:2" x14ac:dyDescent="0.3">
      <c r="A76" s="6">
        <v>1028</v>
      </c>
      <c r="B76" s="2">
        <v>700</v>
      </c>
    </row>
    <row r="77" spans="1:2" x14ac:dyDescent="0.3">
      <c r="A77" s="6">
        <v>1173</v>
      </c>
      <c r="B77" s="2">
        <v>676</v>
      </c>
    </row>
    <row r="78" spans="1:2" x14ac:dyDescent="0.3">
      <c r="A78" s="6">
        <v>1032</v>
      </c>
      <c r="B78" s="2">
        <v>676</v>
      </c>
    </row>
    <row r="79" spans="1:2" x14ac:dyDescent="0.3">
      <c r="A79" s="6">
        <v>1109</v>
      </c>
      <c r="B79" s="2">
        <v>666.9</v>
      </c>
    </row>
    <row r="80" spans="1:2" x14ac:dyDescent="0.3">
      <c r="A80" s="6">
        <v>1029</v>
      </c>
      <c r="B80" s="2">
        <v>666.9</v>
      </c>
    </row>
    <row r="81" spans="1:2" x14ac:dyDescent="0.3">
      <c r="A81" s="6">
        <v>1104</v>
      </c>
      <c r="B81" s="2">
        <v>665.6</v>
      </c>
    </row>
    <row r="82" spans="1:2" x14ac:dyDescent="0.3">
      <c r="A82" s="6">
        <v>1161</v>
      </c>
      <c r="B82" s="2">
        <v>655.20000000000005</v>
      </c>
    </row>
    <row r="83" spans="1:2" x14ac:dyDescent="0.3">
      <c r="A83" s="6">
        <v>1057</v>
      </c>
      <c r="B83" s="2">
        <v>615.6</v>
      </c>
    </row>
    <row r="84" spans="1:2" x14ac:dyDescent="0.3">
      <c r="A84" s="6">
        <v>1168</v>
      </c>
      <c r="B84" s="2">
        <v>585</v>
      </c>
    </row>
    <row r="85" spans="1:2" x14ac:dyDescent="0.3">
      <c r="A85" s="6">
        <v>1036</v>
      </c>
      <c r="B85" s="2">
        <v>544.32000000000005</v>
      </c>
    </row>
    <row r="86" spans="1:2" x14ac:dyDescent="0.3">
      <c r="A86" s="6">
        <v>1118</v>
      </c>
      <c r="B86" s="2">
        <v>533.52</v>
      </c>
    </row>
    <row r="87" spans="1:2" x14ac:dyDescent="0.3">
      <c r="A87" s="6">
        <v>1136</v>
      </c>
      <c r="B87" s="2">
        <v>520</v>
      </c>
    </row>
    <row r="88" spans="1:2" x14ac:dyDescent="0.3">
      <c r="A88" s="6">
        <v>1048</v>
      </c>
      <c r="B88" s="2">
        <v>520</v>
      </c>
    </row>
    <row r="89" spans="1:2" x14ac:dyDescent="0.3">
      <c r="A89" s="6">
        <v>1024</v>
      </c>
      <c r="B89" s="2">
        <v>520</v>
      </c>
    </row>
    <row r="90" spans="1:2" x14ac:dyDescent="0.3">
      <c r="A90" s="6">
        <v>1037</v>
      </c>
      <c r="B90" s="2">
        <v>500</v>
      </c>
    </row>
    <row r="91" spans="1:2" x14ac:dyDescent="0.3">
      <c r="A91" s="6">
        <v>1071</v>
      </c>
      <c r="B91" s="2">
        <v>495.04</v>
      </c>
    </row>
    <row r="92" spans="1:2" x14ac:dyDescent="0.3">
      <c r="A92" s="6">
        <v>1107</v>
      </c>
      <c r="B92" s="2">
        <v>494</v>
      </c>
    </row>
    <row r="93" spans="1:2" x14ac:dyDescent="0.3">
      <c r="A93" s="6">
        <v>1146</v>
      </c>
      <c r="B93" s="2">
        <v>486</v>
      </c>
    </row>
    <row r="94" spans="1:2" x14ac:dyDescent="0.3">
      <c r="A94" s="6">
        <v>1145</v>
      </c>
      <c r="B94" s="2">
        <v>430.92</v>
      </c>
    </row>
    <row r="95" spans="1:2" x14ac:dyDescent="0.3">
      <c r="A95" s="6">
        <v>1182</v>
      </c>
      <c r="B95" s="2">
        <v>418</v>
      </c>
    </row>
    <row r="96" spans="1:2" x14ac:dyDescent="0.3">
      <c r="A96" s="6">
        <v>1033</v>
      </c>
      <c r="B96" s="2">
        <v>414.96</v>
      </c>
    </row>
    <row r="97" spans="1:2" x14ac:dyDescent="0.3">
      <c r="A97" s="6">
        <v>1156</v>
      </c>
      <c r="B97" s="2">
        <v>414.96</v>
      </c>
    </row>
    <row r="98" spans="1:2" x14ac:dyDescent="0.3">
      <c r="A98" s="6">
        <v>1116</v>
      </c>
      <c r="B98" s="2">
        <v>388.8</v>
      </c>
    </row>
    <row r="99" spans="1:2" x14ac:dyDescent="0.3">
      <c r="A99" s="6">
        <v>1096</v>
      </c>
      <c r="B99" s="2">
        <v>388.8</v>
      </c>
    </row>
    <row r="100" spans="1:2" x14ac:dyDescent="0.3">
      <c r="A100" s="6">
        <v>1026</v>
      </c>
      <c r="B100" s="2">
        <v>378</v>
      </c>
    </row>
    <row r="101" spans="1:2" x14ac:dyDescent="0.3">
      <c r="A101" s="6">
        <v>1131</v>
      </c>
      <c r="B101" s="2">
        <v>374.4</v>
      </c>
    </row>
    <row r="102" spans="1:2" x14ac:dyDescent="0.3">
      <c r="A102" s="6">
        <v>1197</v>
      </c>
      <c r="B102" s="2">
        <v>360</v>
      </c>
    </row>
    <row r="103" spans="1:2" x14ac:dyDescent="0.3">
      <c r="A103" s="6">
        <v>1025</v>
      </c>
      <c r="B103" s="2">
        <v>355.68</v>
      </c>
    </row>
    <row r="104" spans="1:2" x14ac:dyDescent="0.3">
      <c r="A104" s="6">
        <v>1172</v>
      </c>
      <c r="B104" s="2">
        <v>345.6</v>
      </c>
    </row>
    <row r="105" spans="1:2" x14ac:dyDescent="0.3">
      <c r="A105" s="6">
        <v>1095</v>
      </c>
      <c r="B105" s="2">
        <v>332.8</v>
      </c>
    </row>
    <row r="106" spans="1:2" x14ac:dyDescent="0.3">
      <c r="A106" s="6">
        <v>1175</v>
      </c>
      <c r="B106" s="2">
        <v>330</v>
      </c>
    </row>
    <row r="107" spans="1:2" x14ac:dyDescent="0.3">
      <c r="A107" s="6">
        <v>1086</v>
      </c>
      <c r="B107" s="2">
        <v>322.56</v>
      </c>
    </row>
    <row r="108" spans="1:2" x14ac:dyDescent="0.3">
      <c r="A108" s="6">
        <v>1164</v>
      </c>
      <c r="B108" s="2">
        <v>302.39999999999998</v>
      </c>
    </row>
    <row r="109" spans="1:2" x14ac:dyDescent="0.3">
      <c r="A109" s="6">
        <v>1069</v>
      </c>
      <c r="B109" s="2">
        <v>280.8</v>
      </c>
    </row>
    <row r="110" spans="1:2" x14ac:dyDescent="0.3">
      <c r="A110" s="6">
        <v>1030</v>
      </c>
      <c r="B110" s="2">
        <v>280.8</v>
      </c>
    </row>
    <row r="111" spans="1:2" x14ac:dyDescent="0.3">
      <c r="A111" s="6">
        <v>1139</v>
      </c>
      <c r="B111" s="2">
        <v>259.2</v>
      </c>
    </row>
    <row r="112" spans="1:2" x14ac:dyDescent="0.3">
      <c r="A112" s="6">
        <v>1042</v>
      </c>
      <c r="B112" s="2">
        <v>256.88</v>
      </c>
    </row>
    <row r="113" spans="1:2" x14ac:dyDescent="0.3">
      <c r="A113" s="6">
        <v>1126</v>
      </c>
      <c r="B113" s="2">
        <v>250</v>
      </c>
    </row>
    <row r="114" spans="1:2" x14ac:dyDescent="0.3">
      <c r="A114" s="6">
        <v>1027</v>
      </c>
      <c r="B114" s="2">
        <v>228.8</v>
      </c>
    </row>
    <row r="115" spans="1:2" x14ac:dyDescent="0.3">
      <c r="A115" s="6">
        <v>1125</v>
      </c>
      <c r="B115" s="2">
        <v>209</v>
      </c>
    </row>
    <row r="116" spans="1:2" x14ac:dyDescent="0.3">
      <c r="A116" s="6">
        <v>1002</v>
      </c>
      <c r="B116" s="2">
        <v>201.6</v>
      </c>
    </row>
    <row r="117" spans="1:2" x14ac:dyDescent="0.3">
      <c r="A117" s="6">
        <v>1022</v>
      </c>
      <c r="B117" s="2">
        <v>194.4</v>
      </c>
    </row>
    <row r="118" spans="1:2" x14ac:dyDescent="0.3">
      <c r="A118" s="6">
        <v>1079</v>
      </c>
      <c r="B118" s="2">
        <v>194.4</v>
      </c>
    </row>
    <row r="119" spans="1:2" x14ac:dyDescent="0.3">
      <c r="A119" s="6">
        <v>1078</v>
      </c>
      <c r="B119" s="2">
        <v>191.52</v>
      </c>
    </row>
    <row r="120" spans="1:2" x14ac:dyDescent="0.3">
      <c r="A120" s="6">
        <v>1072</v>
      </c>
      <c r="B120" s="2">
        <v>180</v>
      </c>
    </row>
    <row r="121" spans="1:2" x14ac:dyDescent="0.3">
      <c r="A121" s="6">
        <v>1130</v>
      </c>
      <c r="B121" s="2">
        <v>177.84</v>
      </c>
    </row>
    <row r="122" spans="1:2" x14ac:dyDescent="0.3">
      <c r="A122" s="6">
        <v>1066</v>
      </c>
      <c r="B122" s="2">
        <v>166.4</v>
      </c>
    </row>
    <row r="123" spans="1:2" x14ac:dyDescent="0.3">
      <c r="A123" s="6">
        <v>1198</v>
      </c>
      <c r="B123" s="2">
        <v>164.16</v>
      </c>
    </row>
    <row r="124" spans="1:2" x14ac:dyDescent="0.3">
      <c r="A124" s="6">
        <v>1045</v>
      </c>
      <c r="B124" s="2">
        <v>162</v>
      </c>
    </row>
    <row r="125" spans="1:2" x14ac:dyDescent="0.3">
      <c r="A125" s="6">
        <v>1163</v>
      </c>
      <c r="B125" s="2">
        <v>162</v>
      </c>
    </row>
    <row r="126" spans="1:2" x14ac:dyDescent="0.3">
      <c r="A126" s="6">
        <v>1068</v>
      </c>
      <c r="B126" s="2">
        <v>151.19999999999999</v>
      </c>
    </row>
    <row r="127" spans="1:2" x14ac:dyDescent="0.3">
      <c r="A127" s="6">
        <v>1089</v>
      </c>
      <c r="B127" s="2">
        <v>138.32</v>
      </c>
    </row>
    <row r="128" spans="1:2" x14ac:dyDescent="0.3">
      <c r="A128" s="6">
        <v>1092</v>
      </c>
      <c r="B128" s="2">
        <v>136.08000000000001</v>
      </c>
    </row>
    <row r="129" spans="1:2" x14ac:dyDescent="0.3">
      <c r="A129" s="6">
        <v>1080</v>
      </c>
      <c r="B129" s="2">
        <v>133</v>
      </c>
    </row>
    <row r="130" spans="1:2" x14ac:dyDescent="0.3">
      <c r="A130" s="6">
        <v>1051</v>
      </c>
      <c r="B130" s="2">
        <v>133</v>
      </c>
    </row>
    <row r="131" spans="1:2" x14ac:dyDescent="0.3">
      <c r="A131" s="6">
        <v>1101</v>
      </c>
      <c r="B131" s="2">
        <v>120</v>
      </c>
    </row>
    <row r="132" spans="1:2" x14ac:dyDescent="0.3">
      <c r="A132" s="6">
        <v>1112</v>
      </c>
      <c r="B132" s="2">
        <v>118.8</v>
      </c>
    </row>
    <row r="133" spans="1:2" x14ac:dyDescent="0.3">
      <c r="A133" s="6">
        <v>1083</v>
      </c>
      <c r="B133" s="2">
        <v>93.6</v>
      </c>
    </row>
    <row r="134" spans="1:2" x14ac:dyDescent="0.3">
      <c r="A134" s="6">
        <v>1196</v>
      </c>
      <c r="B134" s="2">
        <v>86.4</v>
      </c>
    </row>
    <row r="135" spans="1:2" x14ac:dyDescent="0.3">
      <c r="A135" s="6">
        <v>1040</v>
      </c>
      <c r="B135" s="2">
        <v>83.2</v>
      </c>
    </row>
    <row r="136" spans="1:2" x14ac:dyDescent="0.3">
      <c r="A136" s="6">
        <v>1157</v>
      </c>
      <c r="B136" s="2">
        <v>77.760000000000005</v>
      </c>
    </row>
    <row r="137" spans="1:2" x14ac:dyDescent="0.3">
      <c r="A137" s="6">
        <v>1093</v>
      </c>
      <c r="B137" s="2">
        <v>75.599999999999994</v>
      </c>
    </row>
    <row r="138" spans="1:2" x14ac:dyDescent="0.3">
      <c r="A138" s="6">
        <v>1194</v>
      </c>
      <c r="B138" s="2">
        <v>70</v>
      </c>
    </row>
    <row r="139" spans="1:2" x14ac:dyDescent="0.3">
      <c r="A139" s="6">
        <v>1008</v>
      </c>
      <c r="B139" s="2">
        <v>68.040000000000006</v>
      </c>
    </row>
    <row r="140" spans="1:2" x14ac:dyDescent="0.3">
      <c r="A140" s="6">
        <v>1200</v>
      </c>
      <c r="B140" s="2">
        <v>59.5</v>
      </c>
    </row>
    <row r="141" spans="1:2" x14ac:dyDescent="0.3">
      <c r="A141" s="8" t="s">
        <v>129</v>
      </c>
      <c r="B141" s="9">
        <v>148997.56000000003</v>
      </c>
    </row>
  </sheetData>
  <mergeCells count="6">
    <mergeCell ref="P1:T1"/>
    <mergeCell ref="M1:N1"/>
    <mergeCell ref="D32:E32"/>
    <mergeCell ref="J2:K2"/>
    <mergeCell ref="J11:K11"/>
    <mergeCell ref="J20:K20"/>
  </mergeCells>
  <pageMargins left="0.511811024" right="0.511811024" top="0.78740157499999996" bottom="0.78740157499999996" header="0.31496062000000002" footer="0.31496062000000002"/>
  <pageSetup paperSize="9" orientation="portrait" r:id="rId9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5" customWidth="1"/>
    <col min="2" max="2" width="14" customWidth="1"/>
    <col min="3" max="3" width="15" customWidth="1"/>
    <col min="4" max="4" width="16" customWidth="1"/>
    <col min="5" max="5" width="15" customWidth="1"/>
  </cols>
  <sheetData>
    <row r="1" spans="1:5" x14ac:dyDescent="0.3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</row>
    <row r="2" spans="1:5" x14ac:dyDescent="0.3">
      <c r="A2" t="s">
        <v>123</v>
      </c>
      <c r="B2" t="s">
        <v>0</v>
      </c>
      <c r="C2" t="s">
        <v>124</v>
      </c>
      <c r="D2" t="s">
        <v>125</v>
      </c>
      <c r="E2" t="s">
        <v>0</v>
      </c>
    </row>
    <row r="3" spans="1:5" x14ac:dyDescent="0.3">
      <c r="A3" t="s">
        <v>126</v>
      </c>
      <c r="B3" t="s">
        <v>53</v>
      </c>
      <c r="C3" t="s">
        <v>124</v>
      </c>
      <c r="D3" t="s">
        <v>125</v>
      </c>
      <c r="E3" t="s">
        <v>53</v>
      </c>
    </row>
    <row r="4" spans="1:5" x14ac:dyDescent="0.3">
      <c r="A4" t="s">
        <v>125</v>
      </c>
      <c r="B4" t="s">
        <v>91</v>
      </c>
      <c r="C4" t="s">
        <v>124</v>
      </c>
      <c r="D4" t="s">
        <v>127</v>
      </c>
      <c r="E4" t="s">
        <v>91</v>
      </c>
    </row>
  </sheetData>
  <autoFilter ref="A1:E4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Clientes</vt:lpstr>
      <vt:lpstr>Produtos</vt:lpstr>
      <vt:lpstr>Pedidos</vt:lpstr>
      <vt:lpstr>Devolucoes</vt:lpstr>
      <vt:lpstr>Validação Questões</vt:lpstr>
      <vt:lpstr>Relacionamentos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Luana Gabriela</cp:lastModifiedBy>
  <cp:lastPrinted>2026-10-06T17:32:58Z</cp:lastPrinted>
  <dcterms:created xsi:type="dcterms:W3CDTF">2026-10-06T13:26:28Z</dcterms:created>
  <dcterms:modified xsi:type="dcterms:W3CDTF">2026-10-06T20:45:50Z</dcterms:modified>
</cp:coreProperties>
</file>